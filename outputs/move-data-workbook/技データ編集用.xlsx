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063c169a441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212c3834d5e841b3"/>
    <x:sheet xmlns:r="http://schemas.openxmlformats.org/officeDocument/2006/relationships" name="技データ" sheetId="2" r:id="R88c63af74d604432"/>
    <x:sheet xmlns:r="http://schemas.openxmlformats.org/officeDocument/2006/relationships" name="マスタ" sheetId="3" r:id="Rfb88955d86324405"/>
    <x:sheet xmlns:r="http://schemas.openxmlformats.org/officeDocument/2006/relationships" name="編集ガイド" sheetId="4" r:id="Rb8335ba4100a43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&quot;%&quot;"/>
  </x:numFmts>
  <x:fonts count="12">
    <x:font>
      <x:sz val="11"/>
      <x:name val="Carlito"/>
    </x:font>
    <x:font>
      <x:b/>
      <x:sz val="16"/>
      <x:color rgb="FFFFFFFF"/>
      <x:name val="Carlito"/>
    </x:font>
    <x:font>
      <x:sz val="10"/>
      <x:color rgb="FF155E75"/>
      <x:name val="Carlito"/>
    </x:font>
    <x:font>
      <x:b/>
      <x:sz val="10"/>
      <x:color rgb="FF17324D"/>
      <x:name val="Carlito"/>
    </x:font>
    <x:font>
      <x:b/>
      <x:sz val="11"/>
      <x:color rgb="FF17324D"/>
      <x:name val="Carlito"/>
    </x:font>
    <x:font>
      <x:sz val="10"/>
      <x:color rgb="FF17324D"/>
      <x:name val="Carlito"/>
    </x:font>
    <x:font>
      <x:b/>
      <x:sz val="16"/>
      <x:color rgb="FFFFFFFF"/>
      <x:name val="Aptos"/>
    </x:font>
    <x:font>
      <x:sz val="10"/>
      <x:color rgb="FF155E75"/>
      <x:name val="Aptos"/>
    </x:font>
    <x:font>
      <x:sz val="11"/>
      <x:name val="Aptos"/>
    </x:font>
    <x:font>
      <x:b/>
      <x:sz val="10"/>
      <x:color rgb="FF17324D"/>
      <x:name val="Aptos"/>
    </x:font>
    <x:font>
      <x:b/>
      <x:sz val="11"/>
      <x:color rgb="FF17324D"/>
      <x:name val="Aptos"/>
    </x:font>
    <x:font>
      <x:sz val="10"/>
      <x:color rgb="FF17324D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FFB"/>
      </x:patternFill>
    </x:fill>
    <x:fill>
      <x:patternFill patternType="solid">
        <x:fgColor rgb="FFDDEFEA"/>
      </x:patternFill>
    </x:fill>
    <x:fill>
      <x:patternFill patternType="solid">
        <x:fgColor rgb="FFFFF8E1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1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3" xfId="0" applyNumberFormat="1" applyFont="1" applyFill="1" applyBorder="1"/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8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9" xfId="0" applyNumberFormat="1" applyFont="1" applyFill="1" applyBorder="1"/>
    <x:xf numFmtId="0" fontId="5" fillId="0" borderId="7" xfId="0" applyNumberFormat="1" applyFont="1" applyFill="1" applyBorder="1"/>
    <x:xf numFmtId="0" fontId="5" fillId="0" borderId="2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4" borderId="1" xfId="0" applyNumberFormat="1" applyFont="1" applyFill="1" applyBorder="1" applyAlignment="1">
      <x:alignment horizontal="center" vertical="center" wrapText="1"/>
    </x:xf>
    <x:xf numFmtId="0" fontId="8" fillId="0" borderId="2" xfId="0" applyNumberFormat="1" applyFont="1" applyFill="1" applyBorder="1"/>
    <x:xf numFmtId="200" fontId="8" fillId="0" borderId="3" xfId="0" applyNumberFormat="1" applyFont="1" applyFill="1" applyBorder="1"/>
    <x:xf numFmtId="0" fontId="8" fillId="0" borderId="4" xfId="0" applyNumberFormat="1" applyFont="1" applyFill="1" applyBorder="1"/>
    <x:xf numFmtId="200" fontId="8" fillId="0" borderId="5" xfId="0" applyNumberFormat="1" applyFont="1" applyFill="1" applyBorder="1"/>
    <x:xf numFmtId="0" fontId="8" fillId="0" borderId="6" xfId="0" applyNumberFormat="1" applyFont="1" applyFill="1" applyBorder="1"/>
    <x:xf numFmtId="200" fontId="8" fillId="0" borderId="7" xfId="0" applyNumberFormat="1" applyFont="1" applyFill="1" applyBorder="1"/>
    <x:xf numFmtId="0" fontId="10" fillId="4" borderId="0" xfId="0" applyNumberFormat="1" applyFont="1" applyFill="1" applyBorder="1" applyAlignment="1">
      <x:alignment vertical="center"/>
    </x:xf>
    <x:xf numFmtId="0" fontId="9" fillId="4" borderId="2" xfId="0" applyNumberFormat="1" applyFont="1" applyFill="1" applyBorder="1" applyAlignment="1">
      <x:alignment horizontal="center" vertical="center"/>
    </x:xf>
    <x:xf numFmtId="0" fontId="11" fillId="0" borderId="8" xfId="0" applyNumberFormat="1" applyFont="1" applyFill="1" applyBorder="1" applyAlignment="1">
      <x:alignment vertical="center"/>
    </x:xf>
    <x:xf numFmtId="0" fontId="11" fillId="0" borderId="3" xfId="0" applyNumberFormat="1" applyFont="1" applyFill="1" applyBorder="1" applyAlignment="1">
      <x:alignment vertical="center"/>
    </x:xf>
    <x:xf numFmtId="0" fontId="9" fillId="4" borderId="4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 applyAlignment="1">
      <x:alignment vertical="center"/>
    </x:xf>
    <x:xf numFmtId="0" fontId="11" fillId="0" borderId="5" xfId="0" applyNumberFormat="1" applyFont="1" applyFill="1" applyBorder="1" applyAlignment="1">
      <x:alignment vertical="center"/>
    </x:xf>
    <x:xf numFmtId="0" fontId="9" fillId="4" borderId="6" xfId="0" applyNumberFormat="1" applyFont="1" applyFill="1" applyBorder="1" applyAlignment="1">
      <x:alignment horizontal="center" vertical="center"/>
    </x:xf>
    <x:xf numFmtId="0" fontId="11" fillId="0" borderId="9" xfId="0" applyNumberFormat="1" applyFont="1" applyFill="1" applyBorder="1" applyAlignment="1">
      <x:alignment vertical="center"/>
    </x:xf>
    <x:xf numFmtId="0" fontId="11" fillId="0" borderId="7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horizontal="center"/>
    </x:xf>
    <x:xf numFmtId="202" fontId="0" fillId="5" borderId="0" xfId="0" applyNumberFormat="1" applyFont="1" applyFill="1" applyBorder="1" applyAlignment="1">
      <x:alignment horizontal="center"/>
    </x:xf>
    <x:xf numFmtId="201" fontId="0" fillId="5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/>
    </x:xf>
    <x:xf numFmtId="201" fontId="8" fillId="0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5" borderId="0" xfId="0" applyNumberFormat="1" applyFont="1" applyFill="1" applyBorder="1"/>
    <x:xf numFmtId="202" fontId="8" fillId="5" borderId="0" xfId="0" applyNumberFormat="1" applyFont="1" applyFill="1" applyBorder="1" applyAlignment="1">
      <x:alignment horizontal="center"/>
    </x:xf>
    <x:xf numFmtId="201" fontId="8" fillId="5" borderId="0" xfId="0" applyNumberFormat="1" applyFont="1" applyFill="1" applyBorder="1" applyAlignment="1">
      <x:alignment horizontal="center"/>
    </x:xf>
    <x:xf numFmtId="20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14cefba9484fdc" /><Relationship Type="http://schemas.openxmlformats.org/officeDocument/2006/relationships/theme" Target="/xl/theme/theme1.xml" Id="Rcff5b144dcfa418f" /><Relationship Type="http://schemas.microsoft.com/office/2022/11/relationships/FeaturePropertyBag" Target="/xl/featurePropertyBag/featurePropertyBag.xml" Id="Rbfa1180f606147d5" /><Relationship Type="http://schemas.openxmlformats.org/officeDocument/2006/relationships/sharedStrings" Target="/xl/sharedStrings.xml" Id="Rc3c47d157a7046e3" /><Relationship Type="http://schemas.openxmlformats.org/officeDocument/2006/relationships/worksheet" Target="/xl/worksheets/sheet1.xml" Id="R212c3834d5e841b3" /><Relationship Type="http://schemas.openxmlformats.org/officeDocument/2006/relationships/worksheet" Target="/xl/worksheets/sheet2.xml" Id="R88c63af74d604432" /><Relationship Type="http://schemas.openxmlformats.org/officeDocument/2006/relationships/worksheet" Target="/xl/worksheets/sheet3.xml" Id="Rfb88955d86324405" /><Relationship Type="http://schemas.openxmlformats.org/officeDocument/2006/relationships/worksheet" Target="/xl/worksheets/sheet4.xml" Id="Rb8335ba4100a43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oveDataTable" displayName="MoveDataTable" ref="A4:P533" headerRowCount="1" totalsRowCount="0" totalsRowShown="0">
  <x:autoFilter ref="A4:P533"/>
  <x:tableColumns count="16">
    <x:tableColumn id="1" name="技ID"/>
    <x:tableColumn id="2" name="技名（日本語）"/>
    <x:tableColumn id="3" name="技名（英語）"/>
    <x:tableColumn id="4" name="技タイプ"/>
    <x:tableColumn id="5" name="威力"/>
    <x:tableColumn id="6" name="分類"/>
    <x:tableColumn id="7" name="技範囲"/>
    <x:tableColumn id="8" name="チャンピオンズ対象（暫定）"/>
    <x:tableColumn id="9" name="追加効果"/>
    <x:tableColumn id="10" name="追加効果確率"/>
    <x:tableColumn id="11" name="デメリット"/>
    <x:tableColumn id="12" name="優先度"/>
    <x:tableColumn id="13" name="カテゴリタグ"/>
    <x:tableColumn id="14" name="使用ポケモン数"/>
    <x:tableColumn id="15" name="元isSpreadMove"/>
    <x:tableColumn id="16" name="メモ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c9726e3d184a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" hidden="0" customWidth="1"/>
    <x:col min="4" max="4" width="16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54" t="str">
        <x:v>技データ編集ワークブック</x:v>
      </x:c>
      <x:c r="B1" s="54"/>
      <x:c r="C1" s="54"/>
      <x:c r="D1" s="54"/>
      <x:c r="E1" s="54"/>
      <x:c r="F1" s="54"/>
      <x:c r="G1" s="54"/>
      <x:c r="H1" s="54"/>
    </x:row>
    <x:row r="2" ht="28" customHeight="1">
      <x:c r="A2" s="55" t="str">
        <x:v>moves.jsonを元に、技の追加情報を入力・確認しやすく整理しています。入力欄は黄色で表示しています。</x:v>
      </x:c>
      <x:c r="B2" s="55"/>
      <x:c r="C2" s="55"/>
      <x:c r="D2" s="55"/>
      <x:c r="E2" s="55"/>
      <x:c r="F2" s="55"/>
      <x:c r="G2" s="55"/>
      <x:c r="H2" s="55"/>
    </x:row>
    <x:row r="3">
      <x:c r="A3" s="56"/>
      <x:c r="B3" s="56"/>
      <x:c r="C3" s="56"/>
      <x:c r="D3" s="56"/>
      <x:c r="E3" s="56"/>
      <x:c r="F3" s="56"/>
      <x:c r="G3" s="56"/>
      <x:c r="H3" s="56"/>
    </x:row>
    <x:row r="4">
      <x:c r="A4" s="57" t="str">
        <x:v>概要</x:v>
      </x:c>
      <x:c r="B4" s="57" t="str">
        <x:v>値</x:v>
      </x:c>
      <x:c r="C4" s="56"/>
      <x:c r="D4" s="57" t="str">
        <x:v>技タイプ</x:v>
      </x:c>
      <x:c r="E4" s="57" t="str">
        <x:v>技数</x:v>
      </x:c>
      <x:c r="F4" s="56"/>
      <x:c r="G4" s="56"/>
      <x:c r="H4" s="56"/>
    </x:row>
    <x:row r="5">
      <x:c r="A5" s="58" t="str">
        <x:v>技数</x:v>
      </x:c>
      <x:c r="B5" s="59" t="n">
        <x:f>COUNTA('技データ'!$A$5:$A$533)</x:f>
        <x:v>529</x:v>
      </x:c>
      <x:c r="C5" s="56"/>
      <x:c r="D5" s="58" t="str">
        <x:v>ノーマル</x:v>
      </x:c>
      <x:c r="E5" s="59" t="n">
        <x:f>COUNTIF('技データ'!$D$5:$D$533,D5)</x:f>
        <x:v>77</x:v>
      </x:c>
      <x:c r="F5" s="56"/>
      <x:c r="G5" s="56"/>
      <x:c r="H5" s="56"/>
    </x:row>
    <x:row r="6">
      <x:c r="A6" s="60" t="str">
        <x:v>先制技数（優先度 &gt; 0）</x:v>
      </x:c>
      <x:c r="B6" s="61" t="n">
        <x:f>COUNTIF('技データ'!$L$5:$L$533,"&gt;0")</x:f>
        <x:v>17</x:v>
      </x:c>
      <x:c r="C6" s="56"/>
      <x:c r="D6" s="60" t="str">
        <x:v>ほのお</x:v>
      </x:c>
      <x:c r="E6" s="61" t="n">
        <x:f>COUNTIF('技データ'!$D$5:$D$533,D6)</x:f>
        <x:v>39</x:v>
      </x:c>
      <x:c r="F6" s="56"/>
      <x:c r="G6" s="56"/>
      <x:c r="H6" s="56"/>
    </x:row>
    <x:row r="7">
      <x:c r="A7" s="60" t="str">
        <x:v>複数対象技数</x:v>
      </x:c>
      <x:c r="B7" s="61" t="n">
        <x:f>COUNTIF('技データ'!$G$5:$G$533,"複数対象")</x:f>
        <x:v>65</x:v>
      </x:c>
      <x:c r="C7" s="56"/>
      <x:c r="D7" s="60" t="str">
        <x:v>みず</x:v>
      </x:c>
      <x:c r="E7" s="61" t="n">
        <x:f>COUNTIF('技データ'!$D$5:$D$533,D7)</x:f>
        <x:v>39</x:v>
      </x:c>
      <x:c r="F7" s="56"/>
      <x:c r="G7" s="56"/>
      <x:c r="H7" s="56"/>
    </x:row>
    <x:row r="8">
      <x:c r="A8" s="60" t="str">
        <x:v>追加効果入力済み</x:v>
      </x:c>
      <x:c r="B8" s="61" t="n">
        <x:f>COUNTIF('技データ'!$I$5:$I$533,"&lt;&gt;")</x:f>
        <x:v>0</x:v>
      </x:c>
      <x:c r="C8" s="56"/>
      <x:c r="D8" s="60" t="str">
        <x:v>でんき</x:v>
      </x:c>
      <x:c r="E8" s="61" t="n">
        <x:f>COUNTIF('技データ'!$D$5:$D$533,D8)</x:f>
        <x:v>33</x:v>
      </x:c>
      <x:c r="F8" s="56"/>
      <x:c r="G8" s="56"/>
      <x:c r="H8" s="56"/>
    </x:row>
    <x:row r="9">
      <x:c r="A9" s="62" t="str">
        <x:v>対象外数（暫定）</x:v>
      </x:c>
      <x:c r="B9" s="63" t="n">
        <x:f>COUNTIF('技データ'!$H$5:$H$533,FALSE)</x:f>
        <x:v>0</x:v>
      </x:c>
      <x:c r="C9" s="56"/>
      <x:c r="D9" s="60" t="str">
        <x:v>くさ</x:v>
      </x:c>
      <x:c r="E9" s="61" t="n">
        <x:f>COUNTIF('技データ'!$D$5:$D$533,D9)</x:f>
        <x:v>38</x:v>
      </x:c>
      <x:c r="F9" s="56"/>
      <x:c r="G9" s="56"/>
      <x:c r="H9" s="56"/>
    </x:row>
    <x:row r="10">
      <x:c r="A10" s="56"/>
      <x:c r="B10" s="56"/>
      <x:c r="C10" s="56"/>
      <x:c r="D10" s="60" t="str">
        <x:v>こおり</x:v>
      </x:c>
      <x:c r="E10" s="61" t="n">
        <x:f>COUNTIF('技データ'!$D$5:$D$533,D10)</x:f>
        <x:v>23</x:v>
      </x:c>
      <x:c r="F10" s="56"/>
      <x:c r="G10" s="56"/>
      <x:c r="H10" s="56"/>
    </x:row>
    <x:row r="11">
      <x:c r="A11" s="56"/>
      <x:c r="B11" s="56"/>
      <x:c r="C11" s="56"/>
      <x:c r="D11" s="60" t="str">
        <x:v>かくとう</x:v>
      </x:c>
      <x:c r="E11" s="61" t="n">
        <x:f>COUNTIF('技データ'!$D$5:$D$533,D11)</x:f>
        <x:v>40</x:v>
      </x:c>
      <x:c r="F11" s="56"/>
      <x:c r="G11" s="56"/>
      <x:c r="H11" s="56"/>
    </x:row>
    <x:row r="12">
      <x:c r="A12" s="56"/>
      <x:c r="B12" s="56"/>
      <x:c r="C12" s="56"/>
      <x:c r="D12" s="60" t="str">
        <x:v>どく</x:v>
      </x:c>
      <x:c r="E12" s="61" t="n">
        <x:f>COUNTIF('技データ'!$D$5:$D$533,D12)</x:f>
        <x:v>20</x:v>
      </x:c>
      <x:c r="F12" s="56"/>
      <x:c r="G12" s="56"/>
      <x:c r="H12" s="56"/>
    </x:row>
    <x:row r="13">
      <x:c r="A13" s="56"/>
      <x:c r="B13" s="56"/>
      <x:c r="C13" s="56"/>
      <x:c r="D13" s="60" t="str">
        <x:v>じめん</x:v>
      </x:c>
      <x:c r="E13" s="61" t="n">
        <x:f>COUNTIF('技データ'!$D$5:$D$533,D13)</x:f>
        <x:v>21</x:v>
      </x:c>
      <x:c r="F13" s="56"/>
      <x:c r="G13" s="56"/>
      <x:c r="H13" s="56"/>
    </x:row>
    <x:row r="14">
      <x:c r="A14" s="56"/>
      <x:c r="B14" s="56"/>
      <x:c r="C14" s="56"/>
      <x:c r="D14" s="60" t="str">
        <x:v>ひこう</x:v>
      </x:c>
      <x:c r="E14" s="61" t="n">
        <x:f>COUNTIF('技データ'!$D$5:$D$533,D14)</x:f>
        <x:v>23</x:v>
      </x:c>
      <x:c r="F14" s="56"/>
      <x:c r="G14" s="56"/>
      <x:c r="H14" s="56"/>
    </x:row>
    <x:row r="15">
      <x:c r="A15" s="56"/>
      <x:c r="B15" s="56"/>
      <x:c r="C15" s="56"/>
      <x:c r="D15" s="60" t="str">
        <x:v>エスパー</x:v>
      </x:c>
      <x:c r="E15" s="61" t="n">
        <x:f>COUNTIF('技データ'!$D$5:$D$533,D15)</x:f>
        <x:v>31</x:v>
      </x:c>
      <x:c r="F15" s="56"/>
      <x:c r="G15" s="56"/>
      <x:c r="H15" s="56"/>
    </x:row>
    <x:row r="16">
      <x:c r="A16" s="56"/>
      <x:c r="B16" s="56"/>
      <x:c r="C16" s="56"/>
      <x:c r="D16" s="60" t="str">
        <x:v>むし</x:v>
      </x:c>
      <x:c r="E16" s="61" t="n">
        <x:f>COUNTIF('技データ'!$D$5:$D$533,D16)</x:f>
        <x:v>21</x:v>
      </x:c>
      <x:c r="F16" s="56"/>
      <x:c r="G16" s="56"/>
      <x:c r="H16" s="56"/>
    </x:row>
    <x:row r="17">
      <x:c r="A17" s="56"/>
      <x:c r="B17" s="56"/>
      <x:c r="C17" s="56"/>
      <x:c r="D17" s="60" t="str">
        <x:v>いわ</x:v>
      </x:c>
      <x:c r="E17" s="61" t="n">
        <x:f>COUNTIF('技データ'!$D$5:$D$533,D17)</x:f>
        <x:v>17</x:v>
      </x:c>
      <x:c r="F17" s="56"/>
      <x:c r="G17" s="56"/>
      <x:c r="H17" s="56"/>
    </x:row>
    <x:row r="18">
      <x:c r="A18" s="56"/>
      <x:c r="B18" s="56"/>
      <x:c r="C18" s="56"/>
      <x:c r="D18" s="60" t="str">
        <x:v>ゴースト</x:v>
      </x:c>
      <x:c r="E18" s="61" t="n">
        <x:f>COUNTIF('技データ'!$D$5:$D$533,D18)</x:f>
        <x:v>20</x:v>
      </x:c>
      <x:c r="F18" s="56"/>
      <x:c r="G18" s="56"/>
      <x:c r="H18" s="56"/>
    </x:row>
    <x:row r="19">
      <x:c r="A19" s="56"/>
      <x:c r="B19" s="56"/>
      <x:c r="C19" s="56"/>
      <x:c r="D19" s="60" t="str">
        <x:v>ドラゴン</x:v>
      </x:c>
      <x:c r="E19" s="61" t="n">
        <x:f>COUNTIF('技データ'!$D$5:$D$533,D19)</x:f>
        <x:v>23</x:v>
      </x:c>
      <x:c r="F19" s="56"/>
      <x:c r="G19" s="56"/>
      <x:c r="H19" s="56"/>
    </x:row>
    <x:row r="20">
      <x:c r="A20" s="56"/>
      <x:c r="B20" s="56"/>
      <x:c r="C20" s="56"/>
      <x:c r="D20" s="60" t="str">
        <x:v>あく</x:v>
      </x:c>
      <x:c r="E20" s="61" t="n">
        <x:f>COUNTIF('技データ'!$D$5:$D$533,D20)</x:f>
        <x:v>29</x:v>
      </x:c>
      <x:c r="F20" s="56"/>
      <x:c r="G20" s="56"/>
      <x:c r="H20" s="56"/>
    </x:row>
    <x:row r="21">
      <x:c r="A21" s="56"/>
      <x:c r="B21" s="56"/>
      <x:c r="C21" s="56"/>
      <x:c r="D21" s="60" t="str">
        <x:v>はがね</x:v>
      </x:c>
      <x:c r="E21" s="61" t="n">
        <x:f>COUNTIF('技データ'!$D$5:$D$533,D21)</x:f>
        <x:v>21</x:v>
      </x:c>
      <x:c r="F21" s="56"/>
      <x:c r="G21" s="56"/>
      <x:c r="H21" s="56"/>
    </x:row>
    <x:row r="22">
      <x:c r="A22" s="56"/>
      <x:c r="B22" s="56"/>
      <x:c r="C22" s="56"/>
      <x:c r="D22" s="62" t="str">
        <x:v>フェアリー</x:v>
      </x:c>
      <x:c r="E22" s="63" t="n">
        <x:f>COUNTIF('技データ'!$D$5:$D$533,D22)</x:f>
        <x:v>14</x:v>
      </x:c>
      <x:c r="F22" s="56"/>
      <x:c r="G22" s="56"/>
      <x:c r="H22" s="56"/>
    </x:row>
    <x:row r="23">
      <x:c r="A23" s="56"/>
      <x:c r="B23" s="56"/>
      <x:c r="C23" s="56"/>
      <x:c r="D23" s="56"/>
      <x:c r="E23" s="56"/>
      <x:c r="F23" s="56"/>
      <x:c r="G23" s="56"/>
      <x:c r="H23" s="56"/>
    </x:row>
    <x:row r="24">
      <x:c r="A24" s="56"/>
      <x:c r="B24" s="56"/>
      <x:c r="C24" s="56"/>
      <x:c r="D24" s="56"/>
      <x:c r="E24" s="56"/>
      <x:c r="F24" s="56"/>
      <x:c r="G24" s="56"/>
      <x:c r="H24" s="56"/>
    </x:row>
    <x:row r="25">
      <x:c r="A25" s="64" t="str">
        <x:v>編集の流れ</x:v>
      </x:c>
      <x:c r="B25" s="64"/>
      <x:c r="C25" s="64"/>
      <x:c r="D25" s="64"/>
      <x:c r="E25" s="64"/>
      <x:c r="F25" s="64"/>
      <x:c r="G25" s="64"/>
      <x:c r="H25" s="64"/>
    </x:row>
    <x:row r="26">
      <x:c r="A26" s="65" t="str">
        <x:v>1</x:v>
      </x:c>
      <x:c r="B26" s="66" t="str">
        <x:v>技データシートの黄色い列を編集</x:v>
      </x:c>
      <x:c r="C26" s="66"/>
      <x:c r="D26" s="66"/>
      <x:c r="E26" s="66"/>
      <x:c r="F26" s="66"/>
      <x:c r="G26" s="66"/>
      <x:c r="H26" s="67"/>
    </x:row>
    <x:row r="27">
      <x:c r="A27" s="68" t="str">
        <x:v>2</x:v>
      </x:c>
      <x:c r="B27" s="69" t="str">
        <x:v>入力候補はマスタシートで追加・変更</x:v>
      </x:c>
      <x:c r="C27" s="69"/>
      <x:c r="D27" s="69"/>
      <x:c r="E27" s="69"/>
      <x:c r="F27" s="69"/>
      <x:c r="G27" s="69"/>
      <x:c r="H27" s="70"/>
    </x:row>
    <x:row r="28">
      <x:c r="A28" s="68" t="str">
        <x:v>3</x:v>
      </x:c>
      <x:c r="B28" s="69" t="str">
        <x:v>必要に応じて元JSONのusers情報を整理</x:v>
      </x:c>
      <x:c r="C28" s="69"/>
      <x:c r="D28" s="69"/>
      <x:c r="E28" s="69"/>
      <x:c r="F28" s="69"/>
      <x:c r="G28" s="69"/>
      <x:c r="H28" s="70"/>
    </x:row>
    <x:row r="29">
      <x:c r="A29" s="71" t="str">
        <x:v>4</x:v>
      </x:c>
      <x:c r="B29" s="72" t="str">
        <x:v>編集後の内容を確認して、必要な形式へ反映</x:v>
      </x:c>
      <x:c r="C29" s="72"/>
      <x:c r="D29" s="72"/>
      <x:c r="E29" s="72"/>
      <x:c r="F29" s="72"/>
      <x:c r="G29" s="72"/>
      <x:c r="H29" s="73"/>
    </x:row>
    <x:row r="30">
      <x:c r="A30" s="56"/>
      <x:c r="B30" s="56"/>
      <x:c r="C30" s="56"/>
      <x:c r="D30" s="56"/>
      <x:c r="E30" s="56"/>
      <x:c r="F30" s="56"/>
      <x:c r="G30" s="56"/>
      <x:c r="H30" s="56"/>
    </x:row>
  </x:sheetData>
  <x:mergeCells>
    <x:mergeCell ref="A1:H1"/>
    <x:mergeCell ref="A2:H2"/>
    <x:mergeCell ref="A25:H25"/>
    <x:mergeCell ref="B26:H26"/>
    <x:mergeCell ref="B27:H27"/>
    <x:mergeCell ref="B28:H28"/>
    <x:mergeCell ref="B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12" hidden="0" customWidth="1"/>
    <x:col min="5" max="5" width="9" hidden="0" customWidth="1"/>
    <x:col min="6" max="6" width="12" hidden="0" customWidth="1"/>
    <x:col min="7" max="7" width="14" hidden="0" customWidth="1"/>
    <x:col min="8" max="8" width="22" hidden="0" customWidth="1"/>
    <x:col min="9" max="9" width="24" hidden="0" customWidth="1"/>
    <x:col min="10" max="10" width="16" hidden="0" customWidth="1"/>
    <x:col min="11" max="11" width="24" hidden="0" customWidth="1"/>
    <x:col min="12" max="12" width="9" hidden="0" customWidth="1"/>
    <x:col min="13" max="13" width="20" hidden="0" customWidth="1"/>
    <x:col min="14" max="14" width="16" hidden="0" customWidth="1"/>
    <x:col min="15" max="15" width="16" hidden="0" customWidth="1"/>
    <x:col min="16" max="16" width="24" hidden="0" customWidth="1"/>
  </x:cols>
  <x:sheetData>
    <x:row r="1" ht="30" customHeight="1">
      <x:c r="A1" s="4" t="str">
        <x:v>技データ（編集用）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0" customHeight="1">
      <x:c r="A2" s="8" t="str">
        <x:v>元データ: data/moves.json。黄色の列を編集してください。チャンピオンズ対象（暫定）は対象ならTRUE、対象外ならFALSEにします。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4" ht="32" customHeight="1">
      <x:c r="A4" s="57" t="str">
        <x:v>技ID</x:v>
      </x:c>
      <x:c r="B4" s="57" t="str">
        <x:v>技名（日本語）</x:v>
      </x:c>
      <x:c r="C4" s="57" t="str">
        <x:v>技名（英語）</x:v>
      </x:c>
      <x:c r="D4" s="57" t="str">
        <x:v>技タイプ</x:v>
      </x:c>
      <x:c r="E4" s="57" t="str">
        <x:v>威力</x:v>
      </x:c>
      <x:c r="F4" s="57" t="str">
        <x:v>分類</x:v>
      </x:c>
      <x:c r="G4" s="57" t="str">
        <x:v>技範囲</x:v>
      </x:c>
      <x:c r="H4" s="57" t="str">
        <x:v>チャンピオンズ対象（暫定）</x:v>
      </x:c>
      <x:c r="I4" s="57" t="str">
        <x:v>追加効果</x:v>
      </x:c>
      <x:c r="J4" s="57" t="str">
        <x:v>追加効果確率</x:v>
      </x:c>
      <x:c r="K4" s="57" t="str">
        <x:v>デメリット</x:v>
      </x:c>
      <x:c r="L4" s="57" t="str">
        <x:v>優先度</x:v>
      </x:c>
      <x:c r="M4" s="57" t="str">
        <x:v>カテゴリタグ</x:v>
      </x:c>
      <x:c r="N4" s="57" t="str">
        <x:v>使用ポケモン数</x:v>
      </x:c>
      <x:c r="O4" s="57" t="str">
        <x:v>元isSpreadMove</x:v>
      </x:c>
      <x:c r="P4" s="57" t="str">
        <x:v>メモ</x:v>
      </x:c>
    </x:row>
    <x:row r="5">
      <x:c r="A5" s="56" t="str">
        <x:v>absorb</x:v>
      </x:c>
      <x:c r="B5" s="56" t="str">
        <x:v>すいとる</x:v>
      </x:c>
      <x:c r="C5" s="56" t="str">
        <x:v>Absorb</x:v>
      </x:c>
      <x:c r="D5" s="85" t="str">
        <x:v>くさ</x:v>
      </x:c>
      <x:c r="E5" s="86" t="n">
        <x:v>20</x:v>
      </x:c>
      <x:c r="F5" s="85" t="str">
        <x:v>特殊</x:v>
      </x:c>
      <x:c r="G5" s="85" t="str">
        <x:v>単体対象</x:v>
      </x:c>
      <x:c r="H5" s="87" t="b">
        <x:v>1</x:v>
      </x:c>
      <x:c r="I5" s="88"/>
      <x:c r="J5" s="89"/>
      <x:c r="K5" s="88"/>
      <x:c r="L5" s="90" t="n">
        <x:v>0</x:v>
      </x:c>
      <x:c r="M5" s="88"/>
      <x:c r="N5" s="91" t="n">
        <x:v>98</x:v>
      </x:c>
      <x:c r="O5" s="92" t="b">
        <x:v>0</x:v>
      </x:c>
      <x:c r="P5" s="88"/>
    </x:row>
    <x:row r="6">
      <x:c r="A6" s="56" t="str">
        <x:v>accelerock</x:v>
      </x:c>
      <x:c r="B6" s="56" t="str">
        <x:v>アクセルロック</x:v>
      </x:c>
      <x:c r="C6" s="56" t="str">
        <x:v>Accelerock</x:v>
      </x:c>
      <x:c r="D6" s="85" t="str">
        <x:v>いわ</x:v>
      </x:c>
      <x:c r="E6" s="86" t="n">
        <x:v>40</x:v>
      </x:c>
      <x:c r="F6" s="85" t="str">
        <x:v>物理</x:v>
      </x:c>
      <x:c r="G6" s="85" t="str">
        <x:v>単体対象</x:v>
      </x:c>
      <x:c r="H6" s="87" t="b">
        <x:v>1</x:v>
      </x:c>
      <x:c r="I6" s="88"/>
      <x:c r="J6" s="89"/>
      <x:c r="K6" s="88"/>
      <x:c r="L6" s="90" t="n">
        <x:v>1</x:v>
      </x:c>
      <x:c r="M6" s="88"/>
      <x:c r="N6" s="91" t="n">
        <x:v>2</x:v>
      </x:c>
      <x:c r="O6" s="92" t="b">
        <x:v>0</x:v>
      </x:c>
      <x:c r="P6" s="88"/>
    </x:row>
    <x:row r="7">
      <x:c r="A7" s="56" t="str">
        <x:v>acid</x:v>
      </x:c>
      <x:c r="B7" s="56" t="str">
        <x:v>ようかいえき</x:v>
      </x:c>
      <x:c r="C7" s="56" t="str">
        <x:v>Acid</x:v>
      </x:c>
      <x:c r="D7" s="85" t="str">
        <x:v>どく</x:v>
      </x:c>
      <x:c r="E7" s="86" t="n">
        <x:v>40</x:v>
      </x:c>
      <x:c r="F7" s="85" t="str">
        <x:v>特殊</x:v>
      </x:c>
      <x:c r="G7" s="85" t="str">
        <x:v>複数対象</x:v>
      </x:c>
      <x:c r="H7" s="87" t="b">
        <x:v>1</x:v>
      </x:c>
      <x:c r="I7" s="88"/>
      <x:c r="J7" s="89"/>
      <x:c r="K7" s="88"/>
      <x:c r="L7" s="90" t="n">
        <x:v>0</x:v>
      </x:c>
      <x:c r="M7" s="88"/>
      <x:c r="N7" s="91" t="n">
        <x:v>35</x:v>
      </x:c>
      <x:c r="O7" s="92" t="b">
        <x:v>1</x:v>
      </x:c>
      <x:c r="P7" s="88"/>
    </x:row>
    <x:row r="8">
      <x:c r="A8" s="56" t="str">
        <x:v>acid-spray</x:v>
      </x:c>
      <x:c r="B8" s="56" t="str">
        <x:v>アシッドボム</x:v>
      </x:c>
      <x:c r="C8" s="56" t="str">
        <x:v>Acid Spray</x:v>
      </x:c>
      <x:c r="D8" s="85" t="str">
        <x:v>どく</x:v>
      </x:c>
      <x:c r="E8" s="86" t="n">
        <x:v>40</x:v>
      </x:c>
      <x:c r="F8" s="85" t="str">
        <x:v>特殊</x:v>
      </x:c>
      <x:c r="G8" s="85" t="str">
        <x:v>単体対象</x:v>
      </x:c>
      <x:c r="H8" s="87" t="b">
        <x:v>1</x:v>
      </x:c>
      <x:c r="I8" s="88"/>
      <x:c r="J8" s="89"/>
      <x:c r="K8" s="88"/>
      <x:c r="L8" s="90" t="n">
        <x:v>0</x:v>
      </x:c>
      <x:c r="M8" s="88"/>
      <x:c r="N8" s="91" t="n">
        <x:v>99</x:v>
      </x:c>
      <x:c r="O8" s="92" t="b">
        <x:v>0</x:v>
      </x:c>
      <x:c r="P8" s="88"/>
    </x:row>
    <x:row r="9">
      <x:c r="A9" s="56" t="str">
        <x:v>acrobatics</x:v>
      </x:c>
      <x:c r="B9" s="56" t="str">
        <x:v>アクロバット</x:v>
      </x:c>
      <x:c r="C9" s="56" t="str">
        <x:v>Acrobatics</x:v>
      </x:c>
      <x:c r="D9" s="85" t="str">
        <x:v>ひこう</x:v>
      </x:c>
      <x:c r="E9" s="86" t="n">
        <x:v>55</x:v>
      </x:c>
      <x:c r="F9" s="85" t="str">
        <x:v>物理</x:v>
      </x:c>
      <x:c r="G9" s="85" t="str">
        <x:v>単体対象</x:v>
      </x:c>
      <x:c r="H9" s="87" t="b">
        <x:v>1</x:v>
      </x:c>
      <x:c r="I9" s="88"/>
      <x:c r="J9" s="89"/>
      <x:c r="K9" s="88"/>
      <x:c r="L9" s="90" t="n">
        <x:v>0</x:v>
      </x:c>
      <x:c r="M9" s="88"/>
      <x:c r="N9" s="91" t="n">
        <x:v>230</x:v>
      </x:c>
      <x:c r="O9" s="92" t="b">
        <x:v>0</x:v>
      </x:c>
      <x:c r="P9" s="88"/>
    </x:row>
    <x:row r="10">
      <x:c r="A10" s="56" t="str">
        <x:v>aerial-ace</x:v>
      </x:c>
      <x:c r="B10" s="56" t="str">
        <x:v>つばめがえし</x:v>
      </x:c>
      <x:c r="C10" s="56" t="str">
        <x:v>Aerial Ace</x:v>
      </x:c>
      <x:c r="D10" s="85" t="str">
        <x:v>ひこう</x:v>
      </x:c>
      <x:c r="E10" s="86" t="n">
        <x:v>60</x:v>
      </x:c>
      <x:c r="F10" s="85" t="str">
        <x:v>物理</x:v>
      </x:c>
      <x:c r="G10" s="85" t="str">
        <x:v>単体対象</x:v>
      </x:c>
      <x:c r="H10" s="87" t="b">
        <x:v>1</x:v>
      </x:c>
      <x:c r="I10" s="88"/>
      <x:c r="J10" s="89"/>
      <x:c r="K10" s="88"/>
      <x:c r="L10" s="90" t="n">
        <x:v>0</x:v>
      </x:c>
      <x:c r="M10" s="88"/>
      <x:c r="N10" s="91" t="n">
        <x:v>428</x:v>
      </x:c>
      <x:c r="O10" s="92" t="b">
        <x:v>0</x:v>
      </x:c>
      <x:c r="P10" s="88"/>
    </x:row>
    <x:row r="11">
      <x:c r="A11" s="56" t="str">
        <x:v>aeroblast</x:v>
      </x:c>
      <x:c r="B11" s="56" t="str">
        <x:v>エアロブラスト</x:v>
      </x:c>
      <x:c r="C11" s="56" t="str">
        <x:v>Aeroblast</x:v>
      </x:c>
      <x:c r="D11" s="85" t="str">
        <x:v>ひこう</x:v>
      </x:c>
      <x:c r="E11" s="86" t="n">
        <x:v>100</x:v>
      </x:c>
      <x:c r="F11" s="85" t="str">
        <x:v>特殊</x:v>
      </x:c>
      <x:c r="G11" s="85" t="str">
        <x:v>単体対象</x:v>
      </x:c>
      <x:c r="H11" s="87" t="b">
        <x:v>1</x:v>
      </x:c>
      <x:c r="I11" s="88"/>
      <x:c r="J11" s="89"/>
      <x:c r="K11" s="88"/>
      <x:c r="L11" s="90" t="n">
        <x:v>0</x:v>
      </x:c>
      <x:c r="M11" s="88"/>
      <x:c r="N11" s="91" t="n">
        <x:v>1</x:v>
      </x:c>
      <x:c r="O11" s="92" t="b">
        <x:v>0</x:v>
      </x:c>
      <x:c r="P11" s="88"/>
    </x:row>
    <x:row r="12">
      <x:c r="A12" s="56" t="str">
        <x:v>air-cutter</x:v>
      </x:c>
      <x:c r="B12" s="56" t="str">
        <x:v>エアカッター</x:v>
      </x:c>
      <x:c r="C12" s="56" t="str">
        <x:v>Air Cutter</x:v>
      </x:c>
      <x:c r="D12" s="85" t="str">
        <x:v>ひこう</x:v>
      </x:c>
      <x:c r="E12" s="86" t="n">
        <x:v>60</x:v>
      </x:c>
      <x:c r="F12" s="85" t="str">
        <x:v>特殊</x:v>
      </x:c>
      <x:c r="G12" s="85" t="str">
        <x:v>複数対象</x:v>
      </x:c>
      <x:c r="H12" s="87" t="b">
        <x:v>1</x:v>
      </x:c>
      <x:c r="I12" s="88"/>
      <x:c r="J12" s="89"/>
      <x:c r="K12" s="88"/>
      <x:c r="L12" s="90" t="n">
        <x:v>0</x:v>
      </x:c>
      <x:c r="M12" s="88"/>
      <x:c r="N12" s="91" t="n">
        <x:v>140</x:v>
      </x:c>
      <x:c r="O12" s="92" t="b">
        <x:v>1</x:v>
      </x:c>
      <x:c r="P12" s="88"/>
    </x:row>
    <x:row r="13">
      <x:c r="A13" s="56" t="str">
        <x:v>air-slash</x:v>
      </x:c>
      <x:c r="B13" s="56" t="str">
        <x:v>エアスラッシュ</x:v>
      </x:c>
      <x:c r="C13" s="56" t="str">
        <x:v>Air Slash</x:v>
      </x:c>
      <x:c r="D13" s="85" t="str">
        <x:v>ひこう</x:v>
      </x:c>
      <x:c r="E13" s="86" t="n">
        <x:v>75</x:v>
      </x:c>
      <x:c r="F13" s="85" t="str">
        <x:v>特殊</x:v>
      </x:c>
      <x:c r="G13" s="85" t="str">
        <x:v>単体対象</x:v>
      </x:c>
      <x:c r="H13" s="87" t="b">
        <x:v>1</x:v>
      </x:c>
      <x:c r="I13" s="88"/>
      <x:c r="J13" s="89"/>
      <x:c r="K13" s="88"/>
      <x:c r="L13" s="90" t="n">
        <x:v>0</x:v>
      </x:c>
      <x:c r="M13" s="88"/>
      <x:c r="N13" s="91" t="n">
        <x:v>177</x:v>
      </x:c>
      <x:c r="O13" s="92" t="b">
        <x:v>0</x:v>
      </x:c>
      <x:c r="P13" s="88"/>
    </x:row>
    <x:row r="14">
      <x:c r="A14" s="56" t="str">
        <x:v>alluring-voice</x:v>
      </x:c>
      <x:c r="B14" s="56" t="str">
        <x:v>みわくのボイス</x:v>
      </x:c>
      <x:c r="C14" s="56" t="str">
        <x:v>Alluring Voice</x:v>
      </x:c>
      <x:c r="D14" s="85" t="str">
        <x:v>フェアリー</x:v>
      </x:c>
      <x:c r="E14" s="86" t="n">
        <x:v>80</x:v>
      </x:c>
      <x:c r="F14" s="85" t="str">
        <x:v>特殊</x:v>
      </x:c>
      <x:c r="G14" s="85" t="str">
        <x:v>単体対象</x:v>
      </x:c>
      <x:c r="H14" s="87" t="b">
        <x:v>1</x:v>
      </x:c>
      <x:c r="I14" s="88"/>
      <x:c r="J14" s="89"/>
      <x:c r="K14" s="88"/>
      <x:c r="L14" s="90" t="n">
        <x:v>0</x:v>
      </x:c>
      <x:c r="M14" s="88"/>
      <x:c r="N14" s="91" t="n">
        <x:v>76</x:v>
      </x:c>
      <x:c r="O14" s="92" t="b">
        <x:v>0</x:v>
      </x:c>
      <x:c r="P14" s="88"/>
    </x:row>
    <x:row r="15">
      <x:c r="A15" s="56" t="str">
        <x:v>anchor-shot</x:v>
      </x:c>
      <x:c r="B15" s="56" t="str">
        <x:v>アンカーショット</x:v>
      </x:c>
      <x:c r="C15" s="56" t="str">
        <x:v>Anchor Shot</x:v>
      </x:c>
      <x:c r="D15" s="85" t="str">
        <x:v>はがね</x:v>
      </x:c>
      <x:c r="E15" s="86" t="n">
        <x:v>80</x:v>
      </x:c>
      <x:c r="F15" s="85" t="str">
        <x:v>物理</x:v>
      </x:c>
      <x:c r="G15" s="85" t="str">
        <x:v>単体対象</x:v>
      </x:c>
      <x:c r="H15" s="87" t="b">
        <x:v>1</x:v>
      </x:c>
      <x:c r="I15" s="88"/>
      <x:c r="J15" s="89"/>
      <x:c r="K15" s="88"/>
      <x:c r="L15" s="90" t="n">
        <x:v>0</x:v>
      </x:c>
      <x:c r="M15" s="88"/>
      <x:c r="N15" s="91" t="n">
        <x:v>1</x:v>
      </x:c>
      <x:c r="O15" s="92" t="b">
        <x:v>0</x:v>
      </x:c>
      <x:c r="P15" s="88"/>
    </x:row>
    <x:row r="16">
      <x:c r="A16" s="56" t="str">
        <x:v>ancient-power</x:v>
      </x:c>
      <x:c r="B16" s="56" t="str">
        <x:v>げんしのちから</x:v>
      </x:c>
      <x:c r="C16" s="56" t="str">
        <x:v>Ancient Power</x:v>
      </x:c>
      <x:c r="D16" s="85" t="str">
        <x:v>いわ</x:v>
      </x:c>
      <x:c r="E16" s="86" t="n">
        <x:v>60</x:v>
      </x:c>
      <x:c r="F16" s="85" t="str">
        <x:v>特殊</x:v>
      </x:c>
      <x:c r="G16" s="85" t="str">
        <x:v>単体対象</x:v>
      </x:c>
      <x:c r="H16" s="87" t="b">
        <x:v>1</x:v>
      </x:c>
      <x:c r="I16" s="88"/>
      <x:c r="J16" s="89"/>
      <x:c r="K16" s="88"/>
      <x:c r="L16" s="90" t="n">
        <x:v>0</x:v>
      </x:c>
      <x:c r="M16" s="88"/>
      <x:c r="N16" s="91" t="n">
        <x:v>201</x:v>
      </x:c>
      <x:c r="O16" s="92" t="b">
        <x:v>0</x:v>
      </x:c>
      <x:c r="P16" s="88"/>
    </x:row>
    <x:row r="17">
      <x:c r="A17" s="56" t="str">
        <x:v>apple-acid</x:v>
      </x:c>
      <x:c r="B17" s="56" t="str">
        <x:v>りんごさん</x:v>
      </x:c>
      <x:c r="C17" s="56" t="str">
        <x:v>Apple Acid</x:v>
      </x:c>
      <x:c r="D17" s="85" t="str">
        <x:v>くさ</x:v>
      </x:c>
      <x:c r="E17" s="86" t="n">
        <x:v>80</x:v>
      </x:c>
      <x:c r="F17" s="85" t="str">
        <x:v>特殊</x:v>
      </x:c>
      <x:c r="G17" s="85" t="str">
        <x:v>単体対象</x:v>
      </x:c>
      <x:c r="H17" s="87" t="b">
        <x:v>1</x:v>
      </x:c>
      <x:c r="I17" s="88"/>
      <x:c r="J17" s="89"/>
      <x:c r="K17" s="88"/>
      <x:c r="L17" s="90" t="n">
        <x:v>0</x:v>
      </x:c>
      <x:c r="M17" s="88"/>
      <x:c r="N17" s="91" t="n">
        <x:v>1</x:v>
      </x:c>
      <x:c r="O17" s="92" t="b">
        <x:v>0</x:v>
      </x:c>
      <x:c r="P17" s="88"/>
    </x:row>
    <x:row r="18">
      <x:c r="A18" s="56" t="str">
        <x:v>aqua-cutter</x:v>
      </x:c>
      <x:c r="B18" s="56" t="str">
        <x:v>アクアカッター</x:v>
      </x:c>
      <x:c r="C18" s="56" t="str">
        <x:v>Aqua Cutter</x:v>
      </x:c>
      <x:c r="D18" s="85" t="str">
        <x:v>みず</x:v>
      </x:c>
      <x:c r="E18" s="86" t="n">
        <x:v>70</x:v>
      </x:c>
      <x:c r="F18" s="85" t="str">
        <x:v>物理</x:v>
      </x:c>
      <x:c r="G18" s="85" t="str">
        <x:v>単体対象</x:v>
      </x:c>
      <x:c r="H18" s="87" t="b">
        <x:v>1</x:v>
      </x:c>
      <x:c r="I18" s="88"/>
      <x:c r="J18" s="89"/>
      <x:c r="K18" s="88"/>
      <x:c r="L18" s="90" t="n">
        <x:v>0</x:v>
      </x:c>
      <x:c r="M18" s="88"/>
      <x:c r="N18" s="91" t="n">
        <x:v>11</x:v>
      </x:c>
      <x:c r="O18" s="92" t="b">
        <x:v>0</x:v>
      </x:c>
      <x:c r="P18" s="88"/>
    </x:row>
    <x:row r="19">
      <x:c r="A19" s="56" t="str">
        <x:v>aqua-jet</x:v>
      </x:c>
      <x:c r="B19" s="56" t="str">
        <x:v>アクアジェット</x:v>
      </x:c>
      <x:c r="C19" s="56" t="str">
        <x:v>Aqua Jet</x:v>
      </x:c>
      <x:c r="D19" s="85" t="str">
        <x:v>みず</x:v>
      </x:c>
      <x:c r="E19" s="86" t="n">
        <x:v>40</x:v>
      </x:c>
      <x:c r="F19" s="85" t="str">
        <x:v>物理</x:v>
      </x:c>
      <x:c r="G19" s="85" t="str">
        <x:v>単体対象</x:v>
      </x:c>
      <x:c r="H19" s="87" t="b">
        <x:v>1</x:v>
      </x:c>
      <x:c r="I19" s="88"/>
      <x:c r="J19" s="89"/>
      <x:c r="K19" s="88"/>
      <x:c r="L19" s="90" t="n">
        <x:v>1</x:v>
      </x:c>
      <x:c r="M19" s="88"/>
      <x:c r="N19" s="91" t="n">
        <x:v>77</x:v>
      </x:c>
      <x:c r="O19" s="92" t="b">
        <x:v>0</x:v>
      </x:c>
      <x:c r="P19" s="88"/>
    </x:row>
    <x:row r="20">
      <x:c r="A20" s="56" t="str">
        <x:v>aqua-step</x:v>
      </x:c>
      <x:c r="B20" s="56" t="str">
        <x:v>アクアステップ</x:v>
      </x:c>
      <x:c r="C20" s="56" t="str">
        <x:v>Aqua Step</x:v>
      </x:c>
      <x:c r="D20" s="85" t="str">
        <x:v>みず</x:v>
      </x:c>
      <x:c r="E20" s="86" t="n">
        <x:v>80</x:v>
      </x:c>
      <x:c r="F20" s="85" t="str">
        <x:v>物理</x:v>
      </x:c>
      <x:c r="G20" s="85" t="str">
        <x:v>単体対象</x:v>
      </x:c>
      <x:c r="H20" s="87" t="b">
        <x:v>1</x:v>
      </x:c>
      <x:c r="I20" s="88"/>
      <x:c r="J20" s="89"/>
      <x:c r="K20" s="88"/>
      <x:c r="L20" s="90" t="n">
        <x:v>0</x:v>
      </x:c>
      <x:c r="M20" s="88"/>
      <x:c r="N20" s="91" t="n">
        <x:v>1</x:v>
      </x:c>
      <x:c r="O20" s="92" t="b">
        <x:v>0</x:v>
      </x:c>
      <x:c r="P20" s="88"/>
    </x:row>
    <x:row r="21">
      <x:c r="A21" s="56" t="str">
        <x:v>aqua-tail</x:v>
      </x:c>
      <x:c r="B21" s="56" t="str">
        <x:v>アクアテール</x:v>
      </x:c>
      <x:c r="C21" s="56" t="str">
        <x:v>Aqua Tail</x:v>
      </x:c>
      <x:c r="D21" s="85" t="str">
        <x:v>みず</x:v>
      </x:c>
      <x:c r="E21" s="86" t="n">
        <x:v>90</x:v>
      </x:c>
      <x:c r="F21" s="85" t="str">
        <x:v>物理</x:v>
      </x:c>
      <x:c r="G21" s="85" t="str">
        <x:v>単体対象</x:v>
      </x:c>
      <x:c r="H21" s="87" t="b">
        <x:v>1</x:v>
      </x:c>
      <x:c r="I21" s="88"/>
      <x:c r="J21" s="89"/>
      <x:c r="K21" s="88"/>
      <x:c r="L21" s="90" t="n">
        <x:v>0</x:v>
      </x:c>
      <x:c r="M21" s="88"/>
      <x:c r="N21" s="91" t="n">
        <x:v>166</x:v>
      </x:c>
      <x:c r="O21" s="92" t="b">
        <x:v>0</x:v>
      </x:c>
      <x:c r="P21" s="88"/>
    </x:row>
    <x:row r="22">
      <x:c r="A22" s="56" t="str">
        <x:v>arm-thrust</x:v>
      </x:c>
      <x:c r="B22" s="56" t="str">
        <x:v>つっぱり</x:v>
      </x:c>
      <x:c r="C22" s="56" t="str">
        <x:v>Arm Thrust</x:v>
      </x:c>
      <x:c r="D22" s="85" t="str">
        <x:v>かくとう</x:v>
      </x:c>
      <x:c r="E22" s="86" t="n">
        <x:v>15</x:v>
      </x:c>
      <x:c r="F22" s="85" t="str">
        <x:v>物理</x:v>
      </x:c>
      <x:c r="G22" s="85" t="str">
        <x:v>単体対象</x:v>
      </x:c>
      <x:c r="H22" s="87" t="b">
        <x:v>1</x:v>
      </x:c>
      <x:c r="I22" s="88"/>
      <x:c r="J22" s="89"/>
      <x:c r="K22" s="88"/>
      <x:c r="L22" s="90" t="n">
        <x:v>0</x:v>
      </x:c>
      <x:c r="M22" s="88"/>
      <x:c r="N22" s="91" t="n">
        <x:v>11</x:v>
      </x:c>
      <x:c r="O22" s="92" t="b">
        <x:v>0</x:v>
      </x:c>
      <x:c r="P22" s="88"/>
    </x:row>
    <x:row r="23">
      <x:c r="A23" s="56" t="str">
        <x:v>armor-cannon</x:v>
      </x:c>
      <x:c r="B23" s="56" t="str">
        <x:v>アーマーキャノン</x:v>
      </x:c>
      <x:c r="C23" s="56" t="str">
        <x:v>Armor Cannon</x:v>
      </x:c>
      <x:c r="D23" s="85" t="str">
        <x:v>ほのお</x:v>
      </x:c>
      <x:c r="E23" s="86" t="n">
        <x:v>120</x:v>
      </x:c>
      <x:c r="F23" s="85" t="str">
        <x:v>特殊</x:v>
      </x:c>
      <x:c r="G23" s="85" t="str">
        <x:v>単体対象</x:v>
      </x:c>
      <x:c r="H23" s="87" t="b">
        <x:v>1</x:v>
      </x:c>
      <x:c r="I23" s="88"/>
      <x:c r="J23" s="89"/>
      <x:c r="K23" s="88"/>
      <x:c r="L23" s="90" t="n">
        <x:v>0</x:v>
      </x:c>
      <x:c r="M23" s="88"/>
      <x:c r="N23" s="91" t="n">
        <x:v>1</x:v>
      </x:c>
      <x:c r="O23" s="92" t="b">
        <x:v>0</x:v>
      </x:c>
      <x:c r="P23" s="88"/>
    </x:row>
    <x:row r="24">
      <x:c r="A24" s="56" t="str">
        <x:v>assurance</x:v>
      </x:c>
      <x:c r="B24" s="56" t="str">
        <x:v>ダメおし</x:v>
      </x:c>
      <x:c r="C24" s="56" t="str">
        <x:v>Assurance</x:v>
      </x:c>
      <x:c r="D24" s="85" t="str">
        <x:v>あく</x:v>
      </x:c>
      <x:c r="E24" s="86" t="n">
        <x:v>60</x:v>
      </x:c>
      <x:c r="F24" s="85" t="str">
        <x:v>物理</x:v>
      </x:c>
      <x:c r="G24" s="85" t="str">
        <x:v>単体対象</x:v>
      </x:c>
      <x:c r="H24" s="87" t="b">
        <x:v>1</x:v>
      </x:c>
      <x:c r="I24" s="88"/>
      <x:c r="J24" s="89"/>
      <x:c r="K24" s="88"/>
      <x:c r="L24" s="90" t="n">
        <x:v>0</x:v>
      </x:c>
      <x:c r="M24" s="88"/>
      <x:c r="N24" s="91" t="n">
        <x:v>226</x:v>
      </x:c>
      <x:c r="O24" s="92" t="b">
        <x:v>0</x:v>
      </x:c>
      <x:c r="P24" s="88"/>
    </x:row>
    <x:row r="25">
      <x:c r="A25" s="56" t="str">
        <x:v>astonish</x:v>
      </x:c>
      <x:c r="B25" s="56" t="str">
        <x:v>おどろかす</x:v>
      </x:c>
      <x:c r="C25" s="56" t="str">
        <x:v>Astonish</x:v>
      </x:c>
      <x:c r="D25" s="85" t="str">
        <x:v>ゴースト</x:v>
      </x:c>
      <x:c r="E25" s="86" t="n">
        <x:v>30</x:v>
      </x:c>
      <x:c r="F25" s="85" t="str">
        <x:v>物理</x:v>
      </x:c>
      <x:c r="G25" s="85" t="str">
        <x:v>単体対象</x:v>
      </x:c>
      <x:c r="H25" s="87" t="b">
        <x:v>1</x:v>
      </x:c>
      <x:c r="I25" s="88"/>
      <x:c r="J25" s="89"/>
      <x:c r="K25" s="88"/>
      <x:c r="L25" s="90" t="n">
        <x:v>0</x:v>
      </x:c>
      <x:c r="M25" s="88"/>
      <x:c r="N25" s="91" t="n">
        <x:v>163</x:v>
      </x:c>
      <x:c r="O25" s="92" t="b">
        <x:v>0</x:v>
      </x:c>
      <x:c r="P25" s="88"/>
    </x:row>
    <x:row r="26">
      <x:c r="A26" s="56" t="str">
        <x:v>astral-barrage</x:v>
      </x:c>
      <x:c r="B26" s="56" t="str">
        <x:v>アストラルビット</x:v>
      </x:c>
      <x:c r="C26" s="56" t="str">
        <x:v>Astral Barrage</x:v>
      </x:c>
      <x:c r="D26" s="85" t="str">
        <x:v>ゴースト</x:v>
      </x:c>
      <x:c r="E26" s="86" t="n">
        <x:v>120</x:v>
      </x:c>
      <x:c r="F26" s="85" t="str">
        <x:v>特殊</x:v>
      </x:c>
      <x:c r="G26" s="85" t="str">
        <x:v>複数対象</x:v>
      </x:c>
      <x:c r="H26" s="87" t="b">
        <x:v>1</x:v>
      </x:c>
      <x:c r="I26" s="88"/>
      <x:c r="J26" s="89"/>
      <x:c r="K26" s="88"/>
      <x:c r="L26" s="90" t="n">
        <x:v>0</x:v>
      </x:c>
      <x:c r="M26" s="88"/>
      <x:c r="N26" s="91" t="n">
        <x:v>1</x:v>
      </x:c>
      <x:c r="O26" s="92" t="b">
        <x:v>1</x:v>
      </x:c>
      <x:c r="P26" s="88"/>
    </x:row>
    <x:row r="27">
      <x:c r="A27" s="56" t="str">
        <x:v>attack-order</x:v>
      </x:c>
      <x:c r="B27" s="56" t="str">
        <x:v>こうげきしれい</x:v>
      </x:c>
      <x:c r="C27" s="56" t="str">
        <x:v>Attack Order</x:v>
      </x:c>
      <x:c r="D27" s="85" t="str">
        <x:v>むし</x:v>
      </x:c>
      <x:c r="E27" s="86" t="n">
        <x:v>90</x:v>
      </x:c>
      <x:c r="F27" s="85" t="str">
        <x:v>物理</x:v>
      </x:c>
      <x:c r="G27" s="85" t="str">
        <x:v>単体対象</x:v>
      </x:c>
      <x:c r="H27" s="87" t="b">
        <x:v>1</x:v>
      </x:c>
      <x:c r="I27" s="88"/>
      <x:c r="J27" s="89"/>
      <x:c r="K27" s="88"/>
      <x:c r="L27" s="90" t="n">
        <x:v>0</x:v>
      </x:c>
      <x:c r="M27" s="88"/>
      <x:c r="N27" s="91" t="n">
        <x:v>1</x:v>
      </x:c>
      <x:c r="O27" s="92" t="b">
        <x:v>0</x:v>
      </x:c>
      <x:c r="P27" s="88"/>
    </x:row>
    <x:row r="28">
      <x:c r="A28" s="56" t="str">
        <x:v>aura-sphere</x:v>
      </x:c>
      <x:c r="B28" s="56" t="str">
        <x:v>はどうだん</x:v>
      </x:c>
      <x:c r="C28" s="56" t="str">
        <x:v>Aura Sphere</x:v>
      </x:c>
      <x:c r="D28" s="85" t="str">
        <x:v>かくとう</x:v>
      </x:c>
      <x:c r="E28" s="86" t="n">
        <x:v>80</x:v>
      </x:c>
      <x:c r="F28" s="85" t="str">
        <x:v>特殊</x:v>
      </x:c>
      <x:c r="G28" s="85" t="str">
        <x:v>単体対象</x:v>
      </x:c>
      <x:c r="H28" s="87" t="b">
        <x:v>1</x:v>
      </x:c>
      <x:c r="I28" s="88"/>
      <x:c r="J28" s="89"/>
      <x:c r="K28" s="88"/>
      <x:c r="L28" s="90" t="n">
        <x:v>0</x:v>
      </x:c>
      <x:c r="M28" s="88"/>
      <x:c r="N28" s="91" t="n">
        <x:v>64</x:v>
      </x:c>
      <x:c r="O28" s="92" t="b">
        <x:v>0</x:v>
      </x:c>
      <x:c r="P28" s="88"/>
    </x:row>
    <x:row r="29">
      <x:c r="A29" s="56" t="str">
        <x:v>aura-wheel</x:v>
      </x:c>
      <x:c r="B29" s="56" t="str">
        <x:v>オーラぐるま</x:v>
      </x:c>
      <x:c r="C29" s="56" t="str">
        <x:v>Aura Wheel</x:v>
      </x:c>
      <x:c r="D29" s="85" t="str">
        <x:v>でんき</x:v>
      </x:c>
      <x:c r="E29" s="86" t="n">
        <x:v>110</x:v>
      </x:c>
      <x:c r="F29" s="85" t="str">
        <x:v>物理</x:v>
      </x:c>
      <x:c r="G29" s="85" t="str">
        <x:v>単体対象</x:v>
      </x:c>
      <x:c r="H29" s="87" t="b">
        <x:v>1</x:v>
      </x:c>
      <x:c r="I29" s="88"/>
      <x:c r="J29" s="89"/>
      <x:c r="K29" s="88"/>
      <x:c r="L29" s="90" t="n">
        <x:v>0</x:v>
      </x:c>
      <x:c r="M29" s="88"/>
      <x:c r="N29" s="91" t="n">
        <x:v>2</x:v>
      </x:c>
      <x:c r="O29" s="92" t="b">
        <x:v>0</x:v>
      </x:c>
      <x:c r="P29" s="88"/>
    </x:row>
    <x:row r="30">
      <x:c r="A30" s="56" t="str">
        <x:v>aurora-beam</x:v>
      </x:c>
      <x:c r="B30" s="56" t="str">
        <x:v>オーロラビーム</x:v>
      </x:c>
      <x:c r="C30" s="56" t="str">
        <x:v>Aurora Beam</x:v>
      </x:c>
      <x:c r="D30" s="85" t="str">
        <x:v>こおり</x:v>
      </x:c>
      <x:c r="E30" s="86" t="n">
        <x:v>65</x:v>
      </x:c>
      <x:c r="F30" s="85" t="str">
        <x:v>特殊</x:v>
      </x:c>
      <x:c r="G30" s="85" t="str">
        <x:v>単体対象</x:v>
      </x:c>
      <x:c r="H30" s="87" t="b">
        <x:v>1</x:v>
      </x:c>
      <x:c r="I30" s="88"/>
      <x:c r="J30" s="89"/>
      <x:c r="K30" s="88"/>
      <x:c r="L30" s="90" t="n">
        <x:v>0</x:v>
      </x:c>
      <x:c r="M30" s="88"/>
      <x:c r="N30" s="91" t="n">
        <x:v>33</x:v>
      </x:c>
      <x:c r="O30" s="92" t="b">
        <x:v>0</x:v>
      </x:c>
      <x:c r="P30" s="88"/>
    </x:row>
    <x:row r="31">
      <x:c r="A31" s="56" t="str">
        <x:v>avalanche</x:v>
      </x:c>
      <x:c r="B31" s="56" t="str">
        <x:v>ゆきなだれ</x:v>
      </x:c>
      <x:c r="C31" s="56" t="str">
        <x:v>Avalanche</x:v>
      </x:c>
      <x:c r="D31" s="85" t="str">
        <x:v>こおり</x:v>
      </x:c>
      <x:c r="E31" s="86" t="n">
        <x:v>60</x:v>
      </x:c>
      <x:c r="F31" s="85" t="str">
        <x:v>物理</x:v>
      </x:c>
      <x:c r="G31" s="85" t="str">
        <x:v>単体対象</x:v>
      </x:c>
      <x:c r="H31" s="87" t="b">
        <x:v>1</x:v>
      </x:c>
      <x:c r="I31" s="88"/>
      <x:c r="J31" s="89"/>
      <x:c r="K31" s="88"/>
      <x:c r="L31" s="90" t="n">
        <x:v>0</x:v>
      </x:c>
      <x:c r="M31" s="88"/>
      <x:c r="N31" s="91" t="n">
        <x:v>132</x:v>
      </x:c>
      <x:c r="O31" s="92" t="b">
        <x:v>0</x:v>
      </x:c>
      <x:c r="P31" s="88"/>
    </x:row>
    <x:row r="32">
      <x:c r="A32" s="56" t="str">
        <x:v>axe-kick</x:v>
      </x:c>
      <x:c r="B32" s="56" t="str">
        <x:v>かかとおとし</x:v>
      </x:c>
      <x:c r="C32" s="56" t="str">
        <x:v>Axe Kick</x:v>
      </x:c>
      <x:c r="D32" s="85" t="str">
        <x:v>かくとう</x:v>
      </x:c>
      <x:c r="E32" s="86" t="n">
        <x:v>120</x:v>
      </x:c>
      <x:c r="F32" s="85" t="str">
        <x:v>物理</x:v>
      </x:c>
      <x:c r="G32" s="85" t="str">
        <x:v>単体対象</x:v>
      </x:c>
      <x:c r="H32" s="87" t="b">
        <x:v>1</x:v>
      </x:c>
      <x:c r="I32" s="88"/>
      <x:c r="J32" s="89"/>
      <x:c r="K32" s="88"/>
      <x:c r="L32" s="90" t="n">
        <x:v>0</x:v>
      </x:c>
      <x:c r="M32" s="88"/>
      <x:c r="N32" s="91" t="n">
        <x:v>5</x:v>
      </x:c>
      <x:c r="O32" s="92" t="b">
        <x:v>0</x:v>
      </x:c>
      <x:c r="P32" s="88"/>
    </x:row>
    <x:row r="33">
      <x:c r="A33" s="56" t="str">
        <x:v>baddy-bad</x:v>
      </x:c>
      <x:c r="B33" s="56" t="str">
        <x:v>わるわるゾーン</x:v>
      </x:c>
      <x:c r="C33" s="56" t="str">
        <x:v>Baddy Bad</x:v>
      </x:c>
      <x:c r="D33" s="85" t="str">
        <x:v>あく</x:v>
      </x:c>
      <x:c r="E33" s="86" t="n">
        <x:v>80</x:v>
      </x:c>
      <x:c r="F33" s="85" t="str">
        <x:v>特殊</x:v>
      </x:c>
      <x:c r="G33" s="85" t="str">
        <x:v>単体対象</x:v>
      </x:c>
      <x:c r="H33" s="87" t="b">
        <x:v>1</x:v>
      </x:c>
      <x:c r="I33" s="88"/>
      <x:c r="J33" s="89"/>
      <x:c r="K33" s="88"/>
      <x:c r="L33" s="90" t="n">
        <x:v>0</x:v>
      </x:c>
      <x:c r="M33" s="88"/>
      <x:c r="N33" s="91" t="n">
        <x:v>1</x:v>
      </x:c>
      <x:c r="O33" s="92" t="b">
        <x:v>0</x:v>
      </x:c>
      <x:c r="P33" s="88"/>
    </x:row>
    <x:row r="34">
      <x:c r="A34" s="56" t="str">
        <x:v>barb-barrage</x:v>
      </x:c>
      <x:c r="B34" s="56" t="str">
        <x:v>どくばりセンボン</x:v>
      </x:c>
      <x:c r="C34" s="56" t="str">
        <x:v>Barb Barrage</x:v>
      </x:c>
      <x:c r="D34" s="85" t="str">
        <x:v>どく</x:v>
      </x:c>
      <x:c r="E34" s="86" t="n">
        <x:v>60</x:v>
      </x:c>
      <x:c r="F34" s="85" t="str">
        <x:v>物理</x:v>
      </x:c>
      <x:c r="G34" s="85" t="str">
        <x:v>単体対象</x:v>
      </x:c>
      <x:c r="H34" s="87" t="b">
        <x:v>1</x:v>
      </x:c>
      <x:c r="I34" s="88"/>
      <x:c r="J34" s="89"/>
      <x:c r="K34" s="88"/>
      <x:c r="L34" s="90" t="n">
        <x:v>0</x:v>
      </x:c>
      <x:c r="M34" s="88"/>
      <x:c r="N34" s="91" t="n">
        <x:v>3</x:v>
      </x:c>
      <x:c r="O34" s="92" t="b">
        <x:v>0</x:v>
      </x:c>
      <x:c r="P34" s="88"/>
    </x:row>
    <x:row r="35">
      <x:c r="A35" s="56" t="str">
        <x:v>barrage</x:v>
      </x:c>
      <x:c r="B35" s="56" t="str">
        <x:v>たまなげ</x:v>
      </x:c>
      <x:c r="C35" s="56" t="str">
        <x:v>Barrage</x:v>
      </x:c>
      <x:c r="D35" s="85" t="str">
        <x:v>ノーマル</x:v>
      </x:c>
      <x:c r="E35" s="86" t="n">
        <x:v>15</x:v>
      </x:c>
      <x:c r="F35" s="85" t="str">
        <x:v>物理</x:v>
      </x:c>
      <x:c r="G35" s="85" t="str">
        <x:v>単体対象</x:v>
      </x:c>
      <x:c r="H35" s="87" t="b">
        <x:v>1</x:v>
      </x:c>
      <x:c r="I35" s="88"/>
      <x:c r="J35" s="89"/>
      <x:c r="K35" s="88"/>
      <x:c r="L35" s="90" t="n">
        <x:v>0</x:v>
      </x:c>
      <x:c r="M35" s="88"/>
      <x:c r="N35" s="91" t="n">
        <x:v>3</x:v>
      </x:c>
      <x:c r="O35" s="92" t="b">
        <x:v>0</x:v>
      </x:c>
      <x:c r="P35" s="88"/>
    </x:row>
    <x:row r="36">
      <x:c r="A36" s="56" t="str">
        <x:v>beak-blast</x:v>
      </x:c>
      <x:c r="B36" s="56" t="str">
        <x:v>くちばしキャノン</x:v>
      </x:c>
      <x:c r="C36" s="56" t="str">
        <x:v>Beak Blast</x:v>
      </x:c>
      <x:c r="D36" s="85" t="str">
        <x:v>ひこう</x:v>
      </x:c>
      <x:c r="E36" s="86" t="n">
        <x:v>100</x:v>
      </x:c>
      <x:c r="F36" s="85" t="str">
        <x:v>物理</x:v>
      </x:c>
      <x:c r="G36" s="85" t="str">
        <x:v>単体対象</x:v>
      </x:c>
      <x:c r="H36" s="87" t="b">
        <x:v>1</x:v>
      </x:c>
      <x:c r="I36" s="88"/>
      <x:c r="J36" s="89"/>
      <x:c r="K36" s="88"/>
      <x:c r="L36" s="90" t="n">
        <x:v>0</x:v>
      </x:c>
      <x:c r="M36" s="88"/>
      <x:c r="N36" s="91" t="n">
        <x:v>1</x:v>
      </x:c>
      <x:c r="O36" s="92" t="b">
        <x:v>0</x:v>
      </x:c>
      <x:c r="P36" s="88"/>
    </x:row>
    <x:row r="37">
      <x:c r="A37" s="56" t="str">
        <x:v>belch</x:v>
      </x:c>
      <x:c r="B37" s="56" t="str">
        <x:v>ゲップ</x:v>
      </x:c>
      <x:c r="C37" s="56" t="str">
        <x:v>Belch</x:v>
      </x:c>
      <x:c r="D37" s="85" t="str">
        <x:v>どく</x:v>
      </x:c>
      <x:c r="E37" s="86" t="n">
        <x:v>120</x:v>
      </x:c>
      <x:c r="F37" s="85" t="str">
        <x:v>特殊</x:v>
      </x:c>
      <x:c r="G37" s="85" t="str">
        <x:v>単体対象</x:v>
      </x:c>
      <x:c r="H37" s="87" t="b">
        <x:v>1</x:v>
      </x:c>
      <x:c r="I37" s="88"/>
      <x:c r="J37" s="89"/>
      <x:c r="K37" s="88"/>
      <x:c r="L37" s="90" t="n">
        <x:v>0</x:v>
      </x:c>
      <x:c r="M37" s="88"/>
      <x:c r="N37" s="91" t="n">
        <x:v>64</x:v>
      </x:c>
      <x:c r="O37" s="92" t="b">
        <x:v>0</x:v>
      </x:c>
      <x:c r="P37" s="88"/>
    </x:row>
    <x:row r="38">
      <x:c r="A38" s="56" t="str">
        <x:v>bind</x:v>
      </x:c>
      <x:c r="B38" s="56" t="str">
        <x:v>しめつける</x:v>
      </x:c>
      <x:c r="C38" s="56" t="str">
        <x:v>Bind</x:v>
      </x:c>
      <x:c r="D38" s="85" t="str">
        <x:v>ノーマル</x:v>
      </x:c>
      <x:c r="E38" s="86" t="n">
        <x:v>15</x:v>
      </x:c>
      <x:c r="F38" s="85" t="str">
        <x:v>物理</x:v>
      </x:c>
      <x:c r="G38" s="85" t="str">
        <x:v>単体対象</x:v>
      </x:c>
      <x:c r="H38" s="87" t="b">
        <x:v>1</x:v>
      </x:c>
      <x:c r="I38" s="88"/>
      <x:c r="J38" s="89"/>
      <x:c r="K38" s="88"/>
      <x:c r="L38" s="90" t="n">
        <x:v>0</x:v>
      </x:c>
      <x:c r="M38" s="88"/>
      <x:c r="N38" s="91" t="n">
        <x:v>86</x:v>
      </x:c>
      <x:c r="O38" s="92" t="b">
        <x:v>0</x:v>
      </x:c>
      <x:c r="P38" s="88"/>
    </x:row>
    <x:row r="39">
      <x:c r="A39" s="56" t="str">
        <x:v>bite</x:v>
      </x:c>
      <x:c r="B39" s="56" t="str">
        <x:v>かみつく</x:v>
      </x:c>
      <x:c r="C39" s="56" t="str">
        <x:v>Bite</x:v>
      </x:c>
      <x:c r="D39" s="85" t="str">
        <x:v>あく</x:v>
      </x:c>
      <x:c r="E39" s="86" t="n">
        <x:v>60</x:v>
      </x:c>
      <x:c r="F39" s="85" t="str">
        <x:v>物理</x:v>
      </x:c>
      <x:c r="G39" s="85" t="str">
        <x:v>単体対象</x:v>
      </x:c>
      <x:c r="H39" s="87" t="b">
        <x:v>1</x:v>
      </x:c>
      <x:c r="I39" s="88"/>
      <x:c r="J39" s="89"/>
      <x:c r="K39" s="88"/>
      <x:c r="L39" s="90" t="n">
        <x:v>0</x:v>
      </x:c>
      <x:c r="M39" s="88"/>
      <x:c r="N39" s="91" t="n">
        <x:v>280</x:v>
      </x:c>
      <x:c r="O39" s="92" t="b">
        <x:v>0</x:v>
      </x:c>
      <x:c r="P39" s="88"/>
    </x:row>
    <x:row r="40">
      <x:c r="A40" s="56" t="str">
        <x:v>bitter-blade</x:v>
      </x:c>
      <x:c r="B40" s="56" t="str">
        <x:v>むねんのつるぎ</x:v>
      </x:c>
      <x:c r="C40" s="56" t="str">
        <x:v>Bitter Blade</x:v>
      </x:c>
      <x:c r="D40" s="85" t="str">
        <x:v>ほのお</x:v>
      </x:c>
      <x:c r="E40" s="86" t="n">
        <x:v>90</x:v>
      </x:c>
      <x:c r="F40" s="85" t="str">
        <x:v>物理</x:v>
      </x:c>
      <x:c r="G40" s="85" t="str">
        <x:v>単体対象</x:v>
      </x:c>
      <x:c r="H40" s="87" t="b">
        <x:v>1</x:v>
      </x:c>
      <x:c r="I40" s="88"/>
      <x:c r="J40" s="89"/>
      <x:c r="K40" s="88"/>
      <x:c r="L40" s="90" t="n">
        <x:v>0</x:v>
      </x:c>
      <x:c r="M40" s="88"/>
      <x:c r="N40" s="91" t="n">
        <x:v>1</x:v>
      </x:c>
      <x:c r="O40" s="92" t="b">
        <x:v>0</x:v>
      </x:c>
      <x:c r="P40" s="88"/>
    </x:row>
    <x:row r="41">
      <x:c r="A41" s="56" t="str">
        <x:v>bitter-malice</x:v>
      </x:c>
      <x:c r="B41" s="56" t="str">
        <x:v>うらみつらみ</x:v>
      </x:c>
      <x:c r="C41" s="56" t="str">
        <x:v>Bitter Malice</x:v>
      </x:c>
      <x:c r="D41" s="85" t="str">
        <x:v>ゴースト</x:v>
      </x:c>
      <x:c r="E41" s="86" t="n">
        <x:v>75</x:v>
      </x:c>
      <x:c r="F41" s="85" t="str">
        <x:v>特殊</x:v>
      </x:c>
      <x:c r="G41" s="85" t="str">
        <x:v>単体対象</x:v>
      </x:c>
      <x:c r="H41" s="87" t="b">
        <x:v>1</x:v>
      </x:c>
      <x:c r="I41" s="88"/>
      <x:c r="J41" s="89"/>
      <x:c r="K41" s="88"/>
      <x:c r="L41" s="90" t="n">
        <x:v>0</x:v>
      </x:c>
      <x:c r="M41" s="88"/>
      <x:c r="N41" s="91" t="n">
        <x:v>2</x:v>
      </x:c>
      <x:c r="O41" s="92" t="b">
        <x:v>0</x:v>
      </x:c>
      <x:c r="P41" s="88"/>
    </x:row>
    <x:row r="42">
      <x:c r="A42" s="56" t="str">
        <x:v>blast-burn</x:v>
      </x:c>
      <x:c r="B42" s="56" t="str">
        <x:v>ブラストバーン</x:v>
      </x:c>
      <x:c r="C42" s="56" t="str">
        <x:v>Blast Burn</x:v>
      </x:c>
      <x:c r="D42" s="85" t="str">
        <x:v>ほのお</x:v>
      </x:c>
      <x:c r="E42" s="86" t="n">
        <x:v>150</x:v>
      </x:c>
      <x:c r="F42" s="85" t="str">
        <x:v>特殊</x:v>
      </x:c>
      <x:c r="G42" s="85" t="str">
        <x:v>単体対象</x:v>
      </x:c>
      <x:c r="H42" s="87" t="b">
        <x:v>1</x:v>
      </x:c>
      <x:c r="I42" s="88"/>
      <x:c r="J42" s="89"/>
      <x:c r="K42" s="88"/>
      <x:c r="L42" s="90" t="n">
        <x:v>0</x:v>
      </x:c>
      <x:c r="M42" s="88"/>
      <x:c r="N42" s="91" t="n">
        <x:v>16</x:v>
      </x:c>
      <x:c r="O42" s="92" t="b">
        <x:v>0</x:v>
      </x:c>
      <x:c r="P42" s="88"/>
    </x:row>
    <x:row r="43">
      <x:c r="A43" s="56" t="str">
        <x:v>blaze-kick</x:v>
      </x:c>
      <x:c r="B43" s="56" t="str">
        <x:v>ブレイズキック</x:v>
      </x:c>
      <x:c r="C43" s="56" t="str">
        <x:v>Blaze Kick</x:v>
      </x:c>
      <x:c r="D43" s="85" t="str">
        <x:v>ほのお</x:v>
      </x:c>
      <x:c r="E43" s="86" t="n">
        <x:v>85</x:v>
      </x:c>
      <x:c r="F43" s="85" t="str">
        <x:v>物理</x:v>
      </x:c>
      <x:c r="G43" s="85" t="str">
        <x:v>単体対象</x:v>
      </x:c>
      <x:c r="H43" s="87" t="b">
        <x:v>1</x:v>
      </x:c>
      <x:c r="I43" s="88"/>
      <x:c r="J43" s="89"/>
      <x:c r="K43" s="88"/>
      <x:c r="L43" s="90" t="n">
        <x:v>0</x:v>
      </x:c>
      <x:c r="M43" s="88"/>
      <x:c r="N43" s="91" t="n">
        <x:v>25</x:v>
      </x:c>
      <x:c r="O43" s="92" t="b">
        <x:v>0</x:v>
      </x:c>
      <x:c r="P43" s="88"/>
    </x:row>
    <x:row r="44">
      <x:c r="A44" s="56" t="str">
        <x:v>bleakwind-storm</x:v>
      </x:c>
      <x:c r="B44" s="56" t="str">
        <x:v>こがらしあらし</x:v>
      </x:c>
      <x:c r="C44" s="56" t="str">
        <x:v>Bleakwind Storm</x:v>
      </x:c>
      <x:c r="D44" s="85" t="str">
        <x:v>ひこう</x:v>
      </x:c>
      <x:c r="E44" s="86" t="n">
        <x:v>100</x:v>
      </x:c>
      <x:c r="F44" s="85" t="str">
        <x:v>特殊</x:v>
      </x:c>
      <x:c r="G44" s="85" t="str">
        <x:v>複数対象</x:v>
      </x:c>
      <x:c r="H44" s="87" t="b">
        <x:v>1</x:v>
      </x:c>
      <x:c r="I44" s="88"/>
      <x:c r="J44" s="89"/>
      <x:c r="K44" s="88"/>
      <x:c r="L44" s="90" t="n">
        <x:v>0</x:v>
      </x:c>
      <x:c r="M44" s="88"/>
      <x:c r="N44" s="91" t="n">
        <x:v>2</x:v>
      </x:c>
      <x:c r="O44" s="92" t="b">
        <x:v>1</x:v>
      </x:c>
      <x:c r="P44" s="88"/>
    </x:row>
    <x:row r="45">
      <x:c r="A45" s="56" t="str">
        <x:v>blizzard</x:v>
      </x:c>
      <x:c r="B45" s="56" t="str">
        <x:v>ふぶき</x:v>
      </x:c>
      <x:c r="C45" s="56" t="str">
        <x:v>Blizzard</x:v>
      </x:c>
      <x:c r="D45" s="85" t="str">
        <x:v>こおり</x:v>
      </x:c>
      <x:c r="E45" s="86" t="n">
        <x:v>110</x:v>
      </x:c>
      <x:c r="F45" s="85" t="str">
        <x:v>特殊</x:v>
      </x:c>
      <x:c r="G45" s="85" t="str">
        <x:v>複数対象</x:v>
      </x:c>
      <x:c r="H45" s="87" t="b">
        <x:v>1</x:v>
      </x:c>
      <x:c r="I45" s="88"/>
      <x:c r="J45" s="89"/>
      <x:c r="K45" s="88"/>
      <x:c r="L45" s="90" t="n">
        <x:v>0</x:v>
      </x:c>
      <x:c r="M45" s="88"/>
      <x:c r="N45" s="91" t="n">
        <x:v>323</x:v>
      </x:c>
      <x:c r="O45" s="92" t="b">
        <x:v>1</x:v>
      </x:c>
      <x:c r="P45" s="88"/>
    </x:row>
    <x:row r="46">
      <x:c r="A46" s="56" t="str">
        <x:v>blood-moon</x:v>
      </x:c>
      <x:c r="B46" s="56" t="str">
        <x:v>ブラッドムーン</x:v>
      </x:c>
      <x:c r="C46" s="56" t="str">
        <x:v>Blood Moon</x:v>
      </x:c>
      <x:c r="D46" s="85" t="str">
        <x:v>ノーマル</x:v>
      </x:c>
      <x:c r="E46" s="86" t="n">
        <x:v>140</x:v>
      </x:c>
      <x:c r="F46" s="85" t="str">
        <x:v>特殊</x:v>
      </x:c>
      <x:c r="G46" s="85" t="str">
        <x:v>単体対象</x:v>
      </x:c>
      <x:c r="H46" s="87" t="b">
        <x:v>1</x:v>
      </x:c>
      <x:c r="I46" s="88"/>
      <x:c r="J46" s="89"/>
      <x:c r="K46" s="88"/>
      <x:c r="L46" s="90" t="n">
        <x:v>0</x:v>
      </x:c>
      <x:c r="M46" s="88"/>
      <x:c r="N46" s="91" t="n">
        <x:v>1</x:v>
      </x:c>
      <x:c r="O46" s="92" t="b">
        <x:v>0</x:v>
      </x:c>
      <x:c r="P46" s="88"/>
    </x:row>
    <x:row r="47">
      <x:c r="A47" s="56" t="str">
        <x:v>blue-flare</x:v>
      </x:c>
      <x:c r="B47" s="56" t="str">
        <x:v>あおいほのお</x:v>
      </x:c>
      <x:c r="C47" s="56" t="str">
        <x:v>Blue Flare</x:v>
      </x:c>
      <x:c r="D47" s="85" t="str">
        <x:v>ほのお</x:v>
      </x:c>
      <x:c r="E47" s="86" t="n">
        <x:v>130</x:v>
      </x:c>
      <x:c r="F47" s="85" t="str">
        <x:v>特殊</x:v>
      </x:c>
      <x:c r="G47" s="85" t="str">
        <x:v>単体対象</x:v>
      </x:c>
      <x:c r="H47" s="87" t="b">
        <x:v>1</x:v>
      </x:c>
      <x:c r="I47" s="88"/>
      <x:c r="J47" s="89"/>
      <x:c r="K47" s="88"/>
      <x:c r="L47" s="90" t="n">
        <x:v>0</x:v>
      </x:c>
      <x:c r="M47" s="88"/>
      <x:c r="N47" s="91" t="n">
        <x:v>1</x:v>
      </x:c>
      <x:c r="O47" s="92" t="b">
        <x:v>0</x:v>
      </x:c>
      <x:c r="P47" s="88"/>
    </x:row>
    <x:row r="48">
      <x:c r="A48" s="56" t="str">
        <x:v>body-press</x:v>
      </x:c>
      <x:c r="B48" s="56" t="str">
        <x:v>ボディプレス</x:v>
      </x:c>
      <x:c r="C48" s="56" t="str">
        <x:v>Body Press</x:v>
      </x:c>
      <x:c r="D48" s="85" t="str">
        <x:v>かくとう</x:v>
      </x:c>
      <x:c r="E48" s="86" t="n">
        <x:v>80</x:v>
      </x:c>
      <x:c r="F48" s="85" t="str">
        <x:v>物理</x:v>
      </x:c>
      <x:c r="G48" s="85" t="str">
        <x:v>単体対象</x:v>
      </x:c>
      <x:c r="H48" s="87" t="b">
        <x:v>1</x:v>
      </x:c>
      <x:c r="I48" s="88"/>
      <x:c r="J48" s="89"/>
      <x:c r="K48" s="88"/>
      <x:c r="L48" s="90" t="n">
        <x:v>0</x:v>
      </x:c>
      <x:c r="M48" s="88"/>
      <x:c r="N48" s="91" t="n">
        <x:v>197</x:v>
      </x:c>
      <x:c r="O48" s="92" t="b">
        <x:v>0</x:v>
      </x:c>
      <x:c r="P48" s="88"/>
    </x:row>
    <x:row r="49">
      <x:c r="A49" s="56" t="str">
        <x:v>body-slam</x:v>
      </x:c>
      <x:c r="B49" s="56" t="str">
        <x:v>のしかかり</x:v>
      </x:c>
      <x:c r="C49" s="56" t="str">
        <x:v>Body Slam</x:v>
      </x:c>
      <x:c r="D49" s="85" t="str">
        <x:v>ノーマル</x:v>
      </x:c>
      <x:c r="E49" s="86" t="n">
        <x:v>85</x:v>
      </x:c>
      <x:c r="F49" s="85" t="str">
        <x:v>物理</x:v>
      </x:c>
      <x:c r="G49" s="85" t="str">
        <x:v>単体対象</x:v>
      </x:c>
      <x:c r="H49" s="87" t="b">
        <x:v>1</x:v>
      </x:c>
      <x:c r="I49" s="88"/>
      <x:c r="J49" s="89"/>
      <x:c r="K49" s="88"/>
      <x:c r="L49" s="90" t="n">
        <x:v>0</x:v>
      </x:c>
      <x:c r="M49" s="88"/>
      <x:c r="N49" s="91" t="n">
        <x:v>715</x:v>
      </x:c>
      <x:c r="O49" s="92" t="b">
        <x:v>0</x:v>
      </x:c>
      <x:c r="P49" s="88"/>
    </x:row>
    <x:row r="50">
      <x:c r="A50" s="56" t="str">
        <x:v>bolt-beak</x:v>
      </x:c>
      <x:c r="B50" s="56" t="str">
        <x:v>でんげきくちばし</x:v>
      </x:c>
      <x:c r="C50" s="56" t="str">
        <x:v>Bolt Beak</x:v>
      </x:c>
      <x:c r="D50" s="85" t="str">
        <x:v>でんき</x:v>
      </x:c>
      <x:c r="E50" s="86" t="n">
        <x:v>85</x:v>
      </x:c>
      <x:c r="F50" s="85" t="str">
        <x:v>物理</x:v>
      </x:c>
      <x:c r="G50" s="85" t="str">
        <x:v>単体対象</x:v>
      </x:c>
      <x:c r="H50" s="87" t="b">
        <x:v>1</x:v>
      </x:c>
      <x:c r="I50" s="88"/>
      <x:c r="J50" s="89"/>
      <x:c r="K50" s="88"/>
      <x:c r="L50" s="90" t="n">
        <x:v>0</x:v>
      </x:c>
      <x:c r="M50" s="88"/>
      <x:c r="N50" s="91" t="n">
        <x:v>2</x:v>
      </x:c>
      <x:c r="O50" s="92" t="b">
        <x:v>0</x:v>
      </x:c>
      <x:c r="P50" s="88"/>
    </x:row>
    <x:row r="51">
      <x:c r="A51" s="56" t="str">
        <x:v>bolt-strike</x:v>
      </x:c>
      <x:c r="B51" s="56" t="str">
        <x:v>らいげき</x:v>
      </x:c>
      <x:c r="C51" s="56" t="str">
        <x:v>Bolt Strike</x:v>
      </x:c>
      <x:c r="D51" s="85" t="str">
        <x:v>でんき</x:v>
      </x:c>
      <x:c r="E51" s="86" t="n">
        <x:v>130</x:v>
      </x:c>
      <x:c r="F51" s="85" t="str">
        <x:v>物理</x:v>
      </x:c>
      <x:c r="G51" s="85" t="str">
        <x:v>単体対象</x:v>
      </x:c>
      <x:c r="H51" s="87" t="b">
        <x:v>1</x:v>
      </x:c>
      <x:c r="I51" s="88"/>
      <x:c r="J51" s="89"/>
      <x:c r="K51" s="88"/>
      <x:c r="L51" s="90" t="n">
        <x:v>0</x:v>
      </x:c>
      <x:c r="M51" s="88"/>
      <x:c r="N51" s="91" t="n">
        <x:v>1</x:v>
      </x:c>
      <x:c r="O51" s="92" t="b">
        <x:v>0</x:v>
      </x:c>
      <x:c r="P51" s="88"/>
    </x:row>
    <x:row r="52">
      <x:c r="A52" s="56" t="str">
        <x:v>bone-club</x:v>
      </x:c>
      <x:c r="B52" s="56" t="str">
        <x:v>ホネこんぼう</x:v>
      </x:c>
      <x:c r="C52" s="56" t="str">
        <x:v>Bone Club</x:v>
      </x:c>
      <x:c r="D52" s="85" t="str">
        <x:v>じめん</x:v>
      </x:c>
      <x:c r="E52" s="86" t="n">
        <x:v>65</x:v>
      </x:c>
      <x:c r="F52" s="85" t="str">
        <x:v>物理</x:v>
      </x:c>
      <x:c r="G52" s="85" t="str">
        <x:v>単体対象</x:v>
      </x:c>
      <x:c r="H52" s="87" t="b">
        <x:v>1</x:v>
      </x:c>
      <x:c r="I52" s="88"/>
      <x:c r="J52" s="89"/>
      <x:c r="K52" s="88"/>
      <x:c r="L52" s="90" t="n">
        <x:v>0</x:v>
      </x:c>
      <x:c r="M52" s="88"/>
      <x:c r="N52" s="91" t="n">
        <x:v>4</x:v>
      </x:c>
      <x:c r="O52" s="92" t="b">
        <x:v>0</x:v>
      </x:c>
      <x:c r="P52" s="88"/>
    </x:row>
    <x:row r="53">
      <x:c r="A53" s="56" t="str">
        <x:v>bone-rush</x:v>
      </x:c>
      <x:c r="B53" s="56" t="str">
        <x:v>ボーンラッシュ</x:v>
      </x:c>
      <x:c r="C53" s="56" t="str">
        <x:v>Bone Rush</x:v>
      </x:c>
      <x:c r="D53" s="85" t="str">
        <x:v>じめん</x:v>
      </x:c>
      <x:c r="E53" s="86" t="n">
        <x:v>25</x:v>
      </x:c>
      <x:c r="F53" s="85" t="str">
        <x:v>物理</x:v>
      </x:c>
      <x:c r="G53" s="85" t="str">
        <x:v>単体対象</x:v>
      </x:c>
      <x:c r="H53" s="87" t="b">
        <x:v>1</x:v>
      </x:c>
      <x:c r="I53" s="88"/>
      <x:c r="J53" s="89"/>
      <x:c r="K53" s="88"/>
      <x:c r="L53" s="90" t="n">
        <x:v>0</x:v>
      </x:c>
      <x:c r="M53" s="88"/>
      <x:c r="N53" s="91" t="n">
        <x:v>7</x:v>
      </x:c>
      <x:c r="O53" s="92" t="b">
        <x:v>0</x:v>
      </x:c>
      <x:c r="P53" s="88"/>
    </x:row>
    <x:row r="54">
      <x:c r="A54" s="56" t="str">
        <x:v>bonemerang</x:v>
      </x:c>
      <x:c r="B54" s="56" t="str">
        <x:v>ホネブーメラン</x:v>
      </x:c>
      <x:c r="C54" s="56" t="str">
        <x:v>Bonemerang</x:v>
      </x:c>
      <x:c r="D54" s="85" t="str">
        <x:v>じめん</x:v>
      </x:c>
      <x:c r="E54" s="86" t="n">
        <x:v>50</x:v>
      </x:c>
      <x:c r="F54" s="85" t="str">
        <x:v>物理</x:v>
      </x:c>
      <x:c r="G54" s="85" t="str">
        <x:v>単体対象</x:v>
      </x:c>
      <x:c r="H54" s="87" t="b">
        <x:v>1</x:v>
      </x:c>
      <x:c r="I54" s="88"/>
      <x:c r="J54" s="89"/>
      <x:c r="K54" s="88"/>
      <x:c r="L54" s="90" t="n">
        <x:v>0</x:v>
      </x:c>
      <x:c r="M54" s="88"/>
      <x:c r="N54" s="91" t="n">
        <x:v>4</x:v>
      </x:c>
      <x:c r="O54" s="92" t="b">
        <x:v>0</x:v>
      </x:c>
      <x:c r="P54" s="88"/>
    </x:row>
    <x:row r="55">
      <x:c r="A55" s="56" t="str">
        <x:v>boomburst</x:v>
      </x:c>
      <x:c r="B55" s="56" t="str">
        <x:v>ばくおんぱ</x:v>
      </x:c>
      <x:c r="C55" s="56" t="str">
        <x:v>Boomburst</x:v>
      </x:c>
      <x:c r="D55" s="85" t="str">
        <x:v>ノーマル</x:v>
      </x:c>
      <x:c r="E55" s="86" t="n">
        <x:v>140</x:v>
      </x:c>
      <x:c r="F55" s="85" t="str">
        <x:v>特殊</x:v>
      </x:c>
      <x:c r="G55" s="85" t="str">
        <x:v>複数対象</x:v>
      </x:c>
      <x:c r="H55" s="87" t="b">
        <x:v>1</x:v>
      </x:c>
      <x:c r="I55" s="88"/>
      <x:c r="J55" s="89"/>
      <x:c r="K55" s="88"/>
      <x:c r="L55" s="90" t="n">
        <x:v>0</x:v>
      </x:c>
      <x:c r="M55" s="88"/>
      <x:c r="N55" s="91" t="n">
        <x:v>21</x:v>
      </x:c>
      <x:c r="O55" s="92" t="b">
        <x:v>1</x:v>
      </x:c>
      <x:c r="P55" s="88"/>
    </x:row>
    <x:row r="56">
      <x:c r="A56" s="56" t="str">
        <x:v>bounce</x:v>
      </x:c>
      <x:c r="B56" s="56" t="str">
        <x:v>とびはねる</x:v>
      </x:c>
      <x:c r="C56" s="56" t="str">
        <x:v>Bounce</x:v>
      </x:c>
      <x:c r="D56" s="85" t="str">
        <x:v>ひこう</x:v>
      </x:c>
      <x:c r="E56" s="86" t="n">
        <x:v>85</x:v>
      </x:c>
      <x:c r="F56" s="85" t="str">
        <x:v>物理</x:v>
      </x:c>
      <x:c r="G56" s="85" t="str">
        <x:v>単体対象</x:v>
      </x:c>
      <x:c r="H56" s="87" t="b">
        <x:v>1</x:v>
      </x:c>
      <x:c r="I56" s="88"/>
      <x:c r="J56" s="89"/>
      <x:c r="K56" s="88"/>
      <x:c r="L56" s="90" t="n">
        <x:v>0</x:v>
      </x:c>
      <x:c r="M56" s="88"/>
      <x:c r="N56" s="91" t="n">
        <x:v>142</x:v>
      </x:c>
      <x:c r="O56" s="92" t="b">
        <x:v>0</x:v>
      </x:c>
      <x:c r="P56" s="88"/>
    </x:row>
    <x:row r="57">
      <x:c r="A57" s="56" t="str">
        <x:v>bouncy-bubble</x:v>
      </x:c>
      <x:c r="B57" s="56" t="str">
        <x:v>いきいきバブル</x:v>
      </x:c>
      <x:c r="C57" s="56" t="str">
        <x:v>Bouncy Bubble</x:v>
      </x:c>
      <x:c r="D57" s="85" t="str">
        <x:v>みず</x:v>
      </x:c>
      <x:c r="E57" s="86" t="n">
        <x:v>60</x:v>
      </x:c>
      <x:c r="F57" s="85" t="str">
        <x:v>特殊</x:v>
      </x:c>
      <x:c r="G57" s="85" t="str">
        <x:v>単体対象</x:v>
      </x:c>
      <x:c r="H57" s="87" t="b">
        <x:v>1</x:v>
      </x:c>
      <x:c r="I57" s="88"/>
      <x:c r="J57" s="89"/>
      <x:c r="K57" s="88"/>
      <x:c r="L57" s="90" t="n">
        <x:v>0</x:v>
      </x:c>
      <x:c r="M57" s="88"/>
      <x:c r="N57" s="91" t="n">
        <x:v>1</x:v>
      </x:c>
      <x:c r="O57" s="92" t="b">
        <x:v>0</x:v>
      </x:c>
      <x:c r="P57" s="88"/>
    </x:row>
    <x:row r="58">
      <x:c r="A58" s="56" t="str">
        <x:v>branch-poke</x:v>
      </x:c>
      <x:c r="B58" s="56" t="str">
        <x:v>えだづき</x:v>
      </x:c>
      <x:c r="C58" s="56" t="str">
        <x:v>Branch Poke</x:v>
      </x:c>
      <x:c r="D58" s="85" t="str">
        <x:v>くさ</x:v>
      </x:c>
      <x:c r="E58" s="86" t="n">
        <x:v>40</x:v>
      </x:c>
      <x:c r="F58" s="85" t="str">
        <x:v>物理</x:v>
      </x:c>
      <x:c r="G58" s="85" t="str">
        <x:v>単体対象</x:v>
      </x:c>
      <x:c r="H58" s="87" t="b">
        <x:v>1</x:v>
      </x:c>
      <x:c r="I58" s="88"/>
      <x:c r="J58" s="89"/>
      <x:c r="K58" s="88"/>
      <x:c r="L58" s="90" t="n">
        <x:v>0</x:v>
      </x:c>
      <x:c r="M58" s="88"/>
      <x:c r="N58" s="91" t="n">
        <x:v>5</x:v>
      </x:c>
      <x:c r="O58" s="92" t="b">
        <x:v>0</x:v>
      </x:c>
      <x:c r="P58" s="88"/>
    </x:row>
    <x:row r="59">
      <x:c r="A59" s="56" t="str">
        <x:v>brave-bird</x:v>
      </x:c>
      <x:c r="B59" s="56" t="str">
        <x:v>ブレイブバード</x:v>
      </x:c>
      <x:c r="C59" s="56" t="str">
        <x:v>Brave Bird</x:v>
      </x:c>
      <x:c r="D59" s="85" t="str">
        <x:v>ひこう</x:v>
      </x:c>
      <x:c r="E59" s="86" t="n">
        <x:v>120</x:v>
      </x:c>
      <x:c r="F59" s="85" t="str">
        <x:v>物理</x:v>
      </x:c>
      <x:c r="G59" s="85" t="str">
        <x:v>単体対象</x:v>
      </x:c>
      <x:c r="H59" s="87" t="b">
        <x:v>1</x:v>
      </x:c>
      <x:c r="I59" s="88"/>
      <x:c r="J59" s="89"/>
      <x:c r="K59" s="88"/>
      <x:c r="L59" s="90" t="n">
        <x:v>0</x:v>
      </x:c>
      <x:c r="M59" s="88"/>
      <x:c r="N59" s="91" t="n">
        <x:v>79</x:v>
      </x:c>
      <x:c r="O59" s="92" t="b">
        <x:v>0</x:v>
      </x:c>
      <x:c r="P59" s="88"/>
    </x:row>
    <x:row r="60">
      <x:c r="A60" s="56" t="str">
        <x:v>breaking-swipe</x:v>
      </x:c>
      <x:c r="B60" s="56" t="str">
        <x:v>ワイドブレイカー</x:v>
      </x:c>
      <x:c r="C60" s="56" t="str">
        <x:v>Breaking Swipe</x:v>
      </x:c>
      <x:c r="D60" s="85" t="str">
        <x:v>ドラゴン</x:v>
      </x:c>
      <x:c r="E60" s="86" t="n">
        <x:v>60</x:v>
      </x:c>
      <x:c r="F60" s="85" t="str">
        <x:v>物理</x:v>
      </x:c>
      <x:c r="G60" s="85" t="str">
        <x:v>複数対象</x:v>
      </x:c>
      <x:c r="H60" s="87" t="b">
        <x:v>1</x:v>
      </x:c>
      <x:c r="I60" s="88"/>
      <x:c r="J60" s="89"/>
      <x:c r="K60" s="88"/>
      <x:c r="L60" s="90" t="n">
        <x:v>0</x:v>
      </x:c>
      <x:c r="M60" s="88"/>
      <x:c r="N60" s="91" t="n">
        <x:v>103</x:v>
      </x:c>
      <x:c r="O60" s="92" t="b">
        <x:v>1</x:v>
      </x:c>
      <x:c r="P60" s="88"/>
    </x:row>
    <x:row r="61">
      <x:c r="A61" s="56" t="str">
        <x:v>brick-break</x:v>
      </x:c>
      <x:c r="B61" s="56" t="str">
        <x:v>かわらわり</x:v>
      </x:c>
      <x:c r="C61" s="56" t="str">
        <x:v>Brick Break</x:v>
      </x:c>
      <x:c r="D61" s="85" t="str">
        <x:v>かくとう</x:v>
      </x:c>
      <x:c r="E61" s="86" t="n">
        <x:v>75</x:v>
      </x:c>
      <x:c r="F61" s="85" t="str">
        <x:v>物理</x:v>
      </x:c>
      <x:c r="G61" s="85" t="str">
        <x:v>単体対象</x:v>
      </x:c>
      <x:c r="H61" s="87" t="b">
        <x:v>1</x:v>
      </x:c>
      <x:c r="I61" s="88"/>
      <x:c r="J61" s="89"/>
      <x:c r="K61" s="88"/>
      <x:c r="L61" s="90" t="n">
        <x:v>0</x:v>
      </x:c>
      <x:c r="M61" s="88"/>
      <x:c r="N61" s="91" t="n">
        <x:v>452</x:v>
      </x:c>
      <x:c r="O61" s="92" t="b">
        <x:v>0</x:v>
      </x:c>
      <x:c r="P61" s="88"/>
    </x:row>
    <x:row r="62">
      <x:c r="A62" s="56" t="str">
        <x:v>brine</x:v>
      </x:c>
      <x:c r="B62" s="56" t="str">
        <x:v>しおみず</x:v>
      </x:c>
      <x:c r="C62" s="56" t="str">
        <x:v>Brine</x:v>
      </x:c>
      <x:c r="D62" s="85" t="str">
        <x:v>みず</x:v>
      </x:c>
      <x:c r="E62" s="86" t="n">
        <x:v>65</x:v>
      </x:c>
      <x:c r="F62" s="85" t="str">
        <x:v>特殊</x:v>
      </x:c>
      <x:c r="G62" s="85" t="str">
        <x:v>単体対象</x:v>
      </x:c>
      <x:c r="H62" s="87" t="b">
        <x:v>1</x:v>
      </x:c>
      <x:c r="I62" s="88"/>
      <x:c r="J62" s="89"/>
      <x:c r="K62" s="88"/>
      <x:c r="L62" s="90" t="n">
        <x:v>0</x:v>
      </x:c>
      <x:c r="M62" s="88"/>
      <x:c r="N62" s="91" t="n">
        <x:v>114</x:v>
      </x:c>
      <x:c r="O62" s="92" t="b">
        <x:v>0</x:v>
      </x:c>
      <x:c r="P62" s="88"/>
    </x:row>
    <x:row r="63">
      <x:c r="A63" s="56" t="str">
        <x:v>brutal-swing</x:v>
      </x:c>
      <x:c r="B63" s="56" t="str">
        <x:v>ぶんまわす</x:v>
      </x:c>
      <x:c r="C63" s="56" t="str">
        <x:v>Brutal Swing</x:v>
      </x:c>
      <x:c r="D63" s="85" t="str">
        <x:v>あく</x:v>
      </x:c>
      <x:c r="E63" s="86" t="n">
        <x:v>60</x:v>
      </x:c>
      <x:c r="F63" s="85" t="str">
        <x:v>物理</x:v>
      </x:c>
      <x:c r="G63" s="85" t="str">
        <x:v>複数対象</x:v>
      </x:c>
      <x:c r="H63" s="87" t="b">
        <x:v>1</x:v>
      </x:c>
      <x:c r="I63" s="88"/>
      <x:c r="J63" s="89"/>
      <x:c r="K63" s="88"/>
      <x:c r="L63" s="90" t="n">
        <x:v>0</x:v>
      </x:c>
      <x:c r="M63" s="88"/>
      <x:c r="N63" s="91" t="n">
        <x:v>200</x:v>
      </x:c>
      <x:c r="O63" s="92" t="b">
        <x:v>1</x:v>
      </x:c>
      <x:c r="P63" s="88"/>
    </x:row>
    <x:row r="64">
      <x:c r="A64" s="56" t="str">
        <x:v>bubble</x:v>
      </x:c>
      <x:c r="B64" s="56" t="str">
        <x:v>あわ</x:v>
      </x:c>
      <x:c r="C64" s="56" t="str">
        <x:v>Bubble</x:v>
      </x:c>
      <x:c r="D64" s="85" t="str">
        <x:v>みず</x:v>
      </x:c>
      <x:c r="E64" s="86" t="n">
        <x:v>40</x:v>
      </x:c>
      <x:c r="F64" s="85" t="str">
        <x:v>特殊</x:v>
      </x:c>
      <x:c r="G64" s="85" t="str">
        <x:v>複数対象</x:v>
      </x:c>
      <x:c r="H64" s="87" t="b">
        <x:v>1</x:v>
      </x:c>
      <x:c r="I64" s="88"/>
      <x:c r="J64" s="89"/>
      <x:c r="K64" s="88"/>
      <x:c r="L64" s="90" t="n">
        <x:v>0</x:v>
      </x:c>
      <x:c r="M64" s="88"/>
      <x:c r="N64" s="91" t="n">
        <x:v>65</x:v>
      </x:c>
      <x:c r="O64" s="92" t="b">
        <x:v>1</x:v>
      </x:c>
      <x:c r="P64" s="88"/>
    </x:row>
    <x:row r="65">
      <x:c r="A65" s="56" t="str">
        <x:v>bubble-beam</x:v>
      </x:c>
      <x:c r="B65" s="56" t="str">
        <x:v>バブルこうせん</x:v>
      </x:c>
      <x:c r="C65" s="56" t="str">
        <x:v>Bubble Beam</x:v>
      </x:c>
      <x:c r="D65" s="85" t="str">
        <x:v>みず</x:v>
      </x:c>
      <x:c r="E65" s="86" t="n">
        <x:v>65</x:v>
      </x:c>
      <x:c r="F65" s="85" t="str">
        <x:v>特殊</x:v>
      </x:c>
      <x:c r="G65" s="85" t="str">
        <x:v>単体対象</x:v>
      </x:c>
      <x:c r="H65" s="87" t="b">
        <x:v>1</x:v>
      </x:c>
      <x:c r="I65" s="88"/>
      <x:c r="J65" s="89"/>
      <x:c r="K65" s="88"/>
      <x:c r="L65" s="90" t="n">
        <x:v>0</x:v>
      </x:c>
      <x:c r="M65" s="88"/>
      <x:c r="N65" s="91" t="n">
        <x:v>107</x:v>
      </x:c>
      <x:c r="O65" s="92" t="b">
        <x:v>0</x:v>
      </x:c>
      <x:c r="P65" s="88"/>
    </x:row>
    <x:row r="66">
      <x:c r="A66" s="56" t="str">
        <x:v>bug-bite</x:v>
      </x:c>
      <x:c r="B66" s="56" t="str">
        <x:v>むしくい</x:v>
      </x:c>
      <x:c r="C66" s="56" t="str">
        <x:v>Bug Bite</x:v>
      </x:c>
      <x:c r="D66" s="85" t="str">
        <x:v>むし</x:v>
      </x:c>
      <x:c r="E66" s="86" t="n">
        <x:v>60</x:v>
      </x:c>
      <x:c r="F66" s="85" t="str">
        <x:v>物理</x:v>
      </x:c>
      <x:c r="G66" s="85" t="str">
        <x:v>単体対象</x:v>
      </x:c>
      <x:c r="H66" s="87" t="b">
        <x:v>1</x:v>
      </x:c>
      <x:c r="I66" s="88"/>
      <x:c r="J66" s="89"/>
      <x:c r="K66" s="88"/>
      <x:c r="L66" s="90" t="n">
        <x:v>0</x:v>
      </x:c>
      <x:c r="M66" s="88"/>
      <x:c r="N66" s="91" t="n">
        <x:v>115</x:v>
      </x:c>
      <x:c r="O66" s="92" t="b">
        <x:v>0</x:v>
      </x:c>
      <x:c r="P66" s="88"/>
    </x:row>
    <x:row r="67">
      <x:c r="A67" s="56" t="str">
        <x:v>bug-buzz</x:v>
      </x:c>
      <x:c r="B67" s="56" t="str">
        <x:v>むしのさざめき</x:v>
      </x:c>
      <x:c r="C67" s="56" t="str">
        <x:v>Bug Buzz</x:v>
      </x:c>
      <x:c r="D67" s="85" t="str">
        <x:v>むし</x:v>
      </x:c>
      <x:c r="E67" s="86" t="n">
        <x:v>90</x:v>
      </x:c>
      <x:c r="F67" s="85" t="str">
        <x:v>特殊</x:v>
      </x:c>
      <x:c r="G67" s="85" t="str">
        <x:v>単体対象</x:v>
      </x:c>
      <x:c r="H67" s="87" t="b">
        <x:v>1</x:v>
      </x:c>
      <x:c r="I67" s="88"/>
      <x:c r="J67" s="89"/>
      <x:c r="K67" s="88"/>
      <x:c r="L67" s="90" t="n">
        <x:v>0</x:v>
      </x:c>
      <x:c r="M67" s="88"/>
      <x:c r="N67" s="91" t="n">
        <x:v>81</x:v>
      </x:c>
      <x:c r="O67" s="92" t="b">
        <x:v>0</x:v>
      </x:c>
      <x:c r="P67" s="88"/>
    </x:row>
    <x:row r="68">
      <x:c r="A68" s="56" t="str">
        <x:v>bulldoze</x:v>
      </x:c>
      <x:c r="B68" s="56" t="str">
        <x:v>じならし</x:v>
      </x:c>
      <x:c r="C68" s="56" t="str">
        <x:v>Bulldoze</x:v>
      </x:c>
      <x:c r="D68" s="85" t="str">
        <x:v>じめん</x:v>
      </x:c>
      <x:c r="E68" s="86" t="n">
        <x:v>60</x:v>
      </x:c>
      <x:c r="F68" s="85" t="str">
        <x:v>物理</x:v>
      </x:c>
      <x:c r="G68" s="85" t="str">
        <x:v>複数対象</x:v>
      </x:c>
      <x:c r="H68" s="87" t="b">
        <x:v>1</x:v>
      </x:c>
      <x:c r="I68" s="88"/>
      <x:c r="J68" s="89"/>
      <x:c r="K68" s="88"/>
      <x:c r="L68" s="90" t="n">
        <x:v>0</x:v>
      </x:c>
      <x:c r="M68" s="88"/>
      <x:c r="N68" s="91" t="n">
        <x:v>455</x:v>
      </x:c>
      <x:c r="O68" s="92" t="b">
        <x:v>1</x:v>
      </x:c>
      <x:c r="P68" s="88"/>
    </x:row>
    <x:row r="69">
      <x:c r="A69" s="56" t="str">
        <x:v>bullet-punch</x:v>
      </x:c>
      <x:c r="B69" s="56" t="str">
        <x:v>バレットパンチ</x:v>
      </x:c>
      <x:c r="C69" s="56" t="str">
        <x:v>Bullet Punch</x:v>
      </x:c>
      <x:c r="D69" s="85" t="str">
        <x:v>はがね</x:v>
      </x:c>
      <x:c r="E69" s="86" t="n">
        <x:v>40</x:v>
      </x:c>
      <x:c r="F69" s="85" t="str">
        <x:v>物理</x:v>
      </x:c>
      <x:c r="G69" s="85" t="str">
        <x:v>単体対象</x:v>
      </x:c>
      <x:c r="H69" s="87" t="b">
        <x:v>1</x:v>
      </x:c>
      <x:c r="I69" s="88"/>
      <x:c r="J69" s="89"/>
      <x:c r="K69" s="88"/>
      <x:c r="L69" s="90" t="n">
        <x:v>1</x:v>
      </x:c>
      <x:c r="M69" s="88"/>
      <x:c r="N69" s="91" t="n">
        <x:v>22</x:v>
      </x:c>
      <x:c r="O69" s="92" t="b">
        <x:v>0</x:v>
      </x:c>
      <x:c r="P69" s="88"/>
    </x:row>
    <x:row r="70">
      <x:c r="A70" s="56" t="str">
        <x:v>bullet-seed</x:v>
      </x:c>
      <x:c r="B70" s="56" t="str">
        <x:v>タネマシンガン</x:v>
      </x:c>
      <x:c r="C70" s="56" t="str">
        <x:v>Bullet Seed</x:v>
      </x:c>
      <x:c r="D70" s="85" t="str">
        <x:v>くさ</x:v>
      </x:c>
      <x:c r="E70" s="86" t="n">
        <x:v>25</x:v>
      </x:c>
      <x:c r="F70" s="85" t="str">
        <x:v>物理</x:v>
      </x:c>
      <x:c r="G70" s="85" t="str">
        <x:v>単体対象</x:v>
      </x:c>
      <x:c r="H70" s="87" t="b">
        <x:v>1</x:v>
      </x:c>
      <x:c r="I70" s="88"/>
      <x:c r="J70" s="89"/>
      <x:c r="K70" s="88"/>
      <x:c r="L70" s="90" t="n">
        <x:v>0</x:v>
      </x:c>
      <x:c r="M70" s="88"/>
      <x:c r="N70" s="91" t="n">
        <x:v>165</x:v>
      </x:c>
      <x:c r="O70" s="92" t="b">
        <x:v>0</x:v>
      </x:c>
      <x:c r="P70" s="88"/>
    </x:row>
    <x:row r="71">
      <x:c r="A71" s="56" t="str">
        <x:v>burn-up</x:v>
      </x:c>
      <x:c r="B71" s="56" t="str">
        <x:v>もえつきる</x:v>
      </x:c>
      <x:c r="C71" s="56" t="str">
        <x:v>Burn Up</x:v>
      </x:c>
      <x:c r="D71" s="85" t="str">
        <x:v>ほのお</x:v>
      </x:c>
      <x:c r="E71" s="86" t="n">
        <x:v>130</x:v>
      </x:c>
      <x:c r="F71" s="85" t="str">
        <x:v>特殊</x:v>
      </x:c>
      <x:c r="G71" s="85" t="str">
        <x:v>単体対象</x:v>
      </x:c>
      <x:c r="H71" s="87" t="b">
        <x:v>1</x:v>
      </x:c>
      <x:c r="I71" s="88"/>
      <x:c r="J71" s="89"/>
      <x:c r="K71" s="88"/>
      <x:c r="L71" s="90" t="n">
        <x:v>0</x:v>
      </x:c>
      <x:c r="M71" s="88"/>
      <x:c r="N71" s="91" t="n">
        <x:v>19</x:v>
      </x:c>
      <x:c r="O71" s="92" t="b">
        <x:v>0</x:v>
      </x:c>
      <x:c r="P71" s="88"/>
    </x:row>
    <x:row r="72">
      <x:c r="A72" s="56" t="str">
        <x:v>burning-jealousy</x:v>
      </x:c>
      <x:c r="B72" s="56" t="str">
        <x:v>しっとのほのお</x:v>
      </x:c>
      <x:c r="C72" s="56" t="str">
        <x:v>Burning Jealousy</x:v>
      </x:c>
      <x:c r="D72" s="85" t="str">
        <x:v>ほのお</x:v>
      </x:c>
      <x:c r="E72" s="86" t="n">
        <x:v>70</x:v>
      </x:c>
      <x:c r="F72" s="85" t="str">
        <x:v>特殊</x:v>
      </x:c>
      <x:c r="G72" s="85" t="str">
        <x:v>複数対象</x:v>
      </x:c>
      <x:c r="H72" s="87" t="b">
        <x:v>1</x:v>
      </x:c>
      <x:c r="I72" s="88"/>
      <x:c r="J72" s="89"/>
      <x:c r="K72" s="88"/>
      <x:c r="L72" s="90" t="n">
        <x:v>0</x:v>
      </x:c>
      <x:c r="M72" s="88"/>
      <x:c r="N72" s="91" t="n">
        <x:v>69</x:v>
      </x:c>
      <x:c r="O72" s="92" t="b">
        <x:v>1</x:v>
      </x:c>
      <x:c r="P72" s="88"/>
    </x:row>
    <x:row r="73">
      <x:c r="A73" s="56" t="str">
        <x:v>buzzy-buzz</x:v>
      </x:c>
      <x:c r="B73" s="56" t="str">
        <x:v>びりびりエレキ</x:v>
      </x:c>
      <x:c r="C73" s="56" t="str">
        <x:v>Buzzy Buzz</x:v>
      </x:c>
      <x:c r="D73" s="85" t="str">
        <x:v>でんき</x:v>
      </x:c>
      <x:c r="E73" s="86" t="n">
        <x:v>60</x:v>
      </x:c>
      <x:c r="F73" s="85" t="str">
        <x:v>特殊</x:v>
      </x:c>
      <x:c r="G73" s="85" t="str">
        <x:v>単体対象</x:v>
      </x:c>
      <x:c r="H73" s="87" t="b">
        <x:v>1</x:v>
      </x:c>
      <x:c r="I73" s="88"/>
      <x:c r="J73" s="89"/>
      <x:c r="K73" s="88"/>
      <x:c r="L73" s="90" t="n">
        <x:v>0</x:v>
      </x:c>
      <x:c r="M73" s="88"/>
      <x:c r="N73" s="91" t="n">
        <x:v>1</x:v>
      </x:c>
      <x:c r="O73" s="92" t="b">
        <x:v>0</x:v>
      </x:c>
      <x:c r="P73" s="88"/>
    </x:row>
    <x:row r="74">
      <x:c r="A74" s="56" t="str">
        <x:v>ceaseless-edge</x:v>
      </x:c>
      <x:c r="B74" s="56" t="str">
        <x:v>ひけん・ちえなみ</x:v>
      </x:c>
      <x:c r="C74" s="56" t="str">
        <x:v>Ceaseless Edge</x:v>
      </x:c>
      <x:c r="D74" s="85" t="str">
        <x:v>あく</x:v>
      </x:c>
      <x:c r="E74" s="86" t="n">
        <x:v>65</x:v>
      </x:c>
      <x:c r="F74" s="85" t="str">
        <x:v>物理</x:v>
      </x:c>
      <x:c r="G74" s="85" t="str">
        <x:v>単体対象</x:v>
      </x:c>
      <x:c r="H74" s="87" t="b">
        <x:v>1</x:v>
      </x:c>
      <x:c r="I74" s="88"/>
      <x:c r="J74" s="89"/>
      <x:c r="K74" s="88"/>
      <x:c r="L74" s="90" t="n">
        <x:v>0</x:v>
      </x:c>
      <x:c r="M74" s="88"/>
      <x:c r="N74" s="91" t="n">
        <x:v>1</x:v>
      </x:c>
      <x:c r="O74" s="92" t="b">
        <x:v>0</x:v>
      </x:c>
      <x:c r="P74" s="88"/>
    </x:row>
    <x:row r="75">
      <x:c r="A75" s="56" t="str">
        <x:v>charge-beam</x:v>
      </x:c>
      <x:c r="B75" s="56" t="str">
        <x:v>チャージビーム</x:v>
      </x:c>
      <x:c r="C75" s="56" t="str">
        <x:v>Charge Beam</x:v>
      </x:c>
      <x:c r="D75" s="85" t="str">
        <x:v>でんき</x:v>
      </x:c>
      <x:c r="E75" s="86" t="n">
        <x:v>50</x:v>
      </x:c>
      <x:c r="F75" s="85" t="str">
        <x:v>特殊</x:v>
      </x:c>
      <x:c r="G75" s="85" t="str">
        <x:v>単体対象</x:v>
      </x:c>
      <x:c r="H75" s="87" t="b">
        <x:v>1</x:v>
      </x:c>
      <x:c r="I75" s="88"/>
      <x:c r="J75" s="89"/>
      <x:c r="K75" s="88"/>
      <x:c r="L75" s="90" t="n">
        <x:v>0</x:v>
      </x:c>
      <x:c r="M75" s="88"/>
      <x:c r="N75" s="91" t="n">
        <x:v>274</x:v>
      </x:c>
      <x:c r="O75" s="92" t="b">
        <x:v>0</x:v>
      </x:c>
      <x:c r="P75" s="88"/>
    </x:row>
    <x:row r="76">
      <x:c r="A76" s="56" t="str">
        <x:v>chatter</x:v>
      </x:c>
      <x:c r="B76" s="56" t="str">
        <x:v>おしゃべり</x:v>
      </x:c>
      <x:c r="C76" s="56" t="str">
        <x:v>Chatter</x:v>
      </x:c>
      <x:c r="D76" s="85" t="str">
        <x:v>ひこう</x:v>
      </x:c>
      <x:c r="E76" s="86" t="n">
        <x:v>65</x:v>
      </x:c>
      <x:c r="F76" s="85" t="str">
        <x:v>特殊</x:v>
      </x:c>
      <x:c r="G76" s="85" t="str">
        <x:v>単体対象</x:v>
      </x:c>
      <x:c r="H76" s="87" t="b">
        <x:v>1</x:v>
      </x:c>
      <x:c r="I76" s="88"/>
      <x:c r="J76" s="89"/>
      <x:c r="K76" s="88"/>
      <x:c r="L76" s="90" t="n">
        <x:v>0</x:v>
      </x:c>
      <x:c r="M76" s="88"/>
      <x:c r="N76" s="91" t="n">
        <x:v>1</x:v>
      </x:c>
      <x:c r="O76" s="92" t="b">
        <x:v>0</x:v>
      </x:c>
      <x:c r="P76" s="88"/>
    </x:row>
    <x:row r="77">
      <x:c r="A77" s="56" t="str">
        <x:v>chilling-water</x:v>
      </x:c>
      <x:c r="B77" s="56" t="str">
        <x:v>ひやみず</x:v>
      </x:c>
      <x:c r="C77" s="56" t="str">
        <x:v>Chilling Water</x:v>
      </x:c>
      <x:c r="D77" s="85" t="str">
        <x:v>みず</x:v>
      </x:c>
      <x:c r="E77" s="86" t="n">
        <x:v>50</x:v>
      </x:c>
      <x:c r="F77" s="85" t="str">
        <x:v>特殊</x:v>
      </x:c>
      <x:c r="G77" s="85" t="str">
        <x:v>単体対象</x:v>
      </x:c>
      <x:c r="H77" s="87" t="b">
        <x:v>1</x:v>
      </x:c>
      <x:c r="I77" s="88"/>
      <x:c r="J77" s="89"/>
      <x:c r="K77" s="88"/>
      <x:c r="L77" s="90" t="n">
        <x:v>0</x:v>
      </x:c>
      <x:c r="M77" s="88"/>
      <x:c r="N77" s="91" t="n">
        <x:v>250</x:v>
      </x:c>
      <x:c r="O77" s="92" t="b">
        <x:v>0</x:v>
      </x:c>
      <x:c r="P77" s="88"/>
    </x:row>
    <x:row r="78">
      <x:c r="A78" s="56" t="str">
        <x:v>chip-away</x:v>
      </x:c>
      <x:c r="B78" s="56" t="str">
        <x:v>なしくずし</x:v>
      </x:c>
      <x:c r="C78" s="56" t="str">
        <x:v>Chip Away</x:v>
      </x:c>
      <x:c r="D78" s="85" t="str">
        <x:v>ノーマル</x:v>
      </x:c>
      <x:c r="E78" s="86" t="n">
        <x:v>70</x:v>
      </x:c>
      <x:c r="F78" s="85" t="str">
        <x:v>物理</x:v>
      </x:c>
      <x:c r="G78" s="85" t="str">
        <x:v>単体対象</x:v>
      </x:c>
      <x:c r="H78" s="87" t="b">
        <x:v>1</x:v>
      </x:c>
      <x:c r="I78" s="88"/>
      <x:c r="J78" s="89"/>
      <x:c r="K78" s="88"/>
      <x:c r="L78" s="90" t="n">
        <x:v>0</x:v>
      </x:c>
      <x:c r="M78" s="88"/>
      <x:c r="N78" s="91" t="n">
        <x:v>44</x:v>
      </x:c>
      <x:c r="O78" s="92" t="b">
        <x:v>0</x:v>
      </x:c>
      <x:c r="P78" s="88"/>
    </x:row>
    <x:row r="79">
      <x:c r="A79" s="56" t="str">
        <x:v>chloroblast</x:v>
      </x:c>
      <x:c r="B79" s="56" t="str">
        <x:v>クロロブラスト</x:v>
      </x:c>
      <x:c r="C79" s="56" t="str">
        <x:v>Chloroblast</x:v>
      </x:c>
      <x:c r="D79" s="85" t="str">
        <x:v>くさ</x:v>
      </x:c>
      <x:c r="E79" s="86" t="n">
        <x:v>150</x:v>
      </x:c>
      <x:c r="F79" s="85" t="str">
        <x:v>特殊</x:v>
      </x:c>
      <x:c r="G79" s="85" t="str">
        <x:v>単体対象</x:v>
      </x:c>
      <x:c r="H79" s="87" t="b">
        <x:v>1</x:v>
      </x:c>
      <x:c r="I79" s="88"/>
      <x:c r="J79" s="89"/>
      <x:c r="K79" s="88"/>
      <x:c r="L79" s="90" t="n">
        <x:v>0</x:v>
      </x:c>
      <x:c r="M79" s="88"/>
      <x:c r="N79" s="91" t="n">
        <x:v>1</x:v>
      </x:c>
      <x:c r="O79" s="92" t="b">
        <x:v>0</x:v>
      </x:c>
      <x:c r="P79" s="88"/>
    </x:row>
    <x:row r="80">
      <x:c r="A80" s="56" t="str">
        <x:v>circle-throw</x:v>
      </x:c>
      <x:c r="B80" s="56" t="str">
        <x:v>ともえなげ</x:v>
      </x:c>
      <x:c r="C80" s="56" t="str">
        <x:v>Circle Throw</x:v>
      </x:c>
      <x:c r="D80" s="85" t="str">
        <x:v>かくとう</x:v>
      </x:c>
      <x:c r="E80" s="86" t="n">
        <x:v>60</x:v>
      </x:c>
      <x:c r="F80" s="85" t="str">
        <x:v>物理</x:v>
      </x:c>
      <x:c r="G80" s="85" t="str">
        <x:v>単体対象</x:v>
      </x:c>
      <x:c r="H80" s="87" t="b">
        <x:v>1</x:v>
      </x:c>
      <x:c r="I80" s="88"/>
      <x:c r="J80" s="89"/>
      <x:c r="K80" s="88"/>
      <x:c r="L80" s="90" t="n">
        <x:v>0</x:v>
      </x:c>
      <x:c r="M80" s="88"/>
      <x:c r="N80" s="91" t="n">
        <x:v>20</x:v>
      </x:c>
      <x:c r="O80" s="92" t="b">
        <x:v>0</x:v>
      </x:c>
      <x:c r="P80" s="88"/>
    </x:row>
    <x:row r="81">
      <x:c r="A81" s="56" t="str">
        <x:v>clamp</x:v>
      </x:c>
      <x:c r="B81" s="56" t="str">
        <x:v>からではさむ</x:v>
      </x:c>
      <x:c r="C81" s="56" t="str">
        <x:v>Clamp</x:v>
      </x:c>
      <x:c r="D81" s="85" t="str">
        <x:v>みず</x:v>
      </x:c>
      <x:c r="E81" s="86" t="n">
        <x:v>35</x:v>
      </x:c>
      <x:c r="F81" s="85" t="str">
        <x:v>物理</x:v>
      </x:c>
      <x:c r="G81" s="85" t="str">
        <x:v>単体対象</x:v>
      </x:c>
      <x:c r="H81" s="87" t="b">
        <x:v>1</x:v>
      </x:c>
      <x:c r="I81" s="88"/>
      <x:c r="J81" s="89"/>
      <x:c r="K81" s="88"/>
      <x:c r="L81" s="90" t="n">
        <x:v>0</x:v>
      </x:c>
      <x:c r="M81" s="88"/>
      <x:c r="N81" s="91" t="n">
        <x:v>5</x:v>
      </x:c>
      <x:c r="O81" s="92" t="b">
        <x:v>0</x:v>
      </x:c>
      <x:c r="P81" s="88"/>
    </x:row>
    <x:row r="82">
      <x:c r="A82" s="56" t="str">
        <x:v>clanging-scales</x:v>
      </x:c>
      <x:c r="B82" s="56" t="str">
        <x:v>スケイルノイズ</x:v>
      </x:c>
      <x:c r="C82" s="56" t="str">
        <x:v>Clanging Scales</x:v>
      </x:c>
      <x:c r="D82" s="85" t="str">
        <x:v>ドラゴン</x:v>
      </x:c>
      <x:c r="E82" s="86" t="n">
        <x:v>110</x:v>
      </x:c>
      <x:c r="F82" s="85" t="str">
        <x:v>特殊</x:v>
      </x:c>
      <x:c r="G82" s="85" t="str">
        <x:v>複数対象</x:v>
      </x:c>
      <x:c r="H82" s="87" t="b">
        <x:v>1</x:v>
      </x:c>
      <x:c r="I82" s="88"/>
      <x:c r="J82" s="89"/>
      <x:c r="K82" s="88"/>
      <x:c r="L82" s="90" t="n">
        <x:v>0</x:v>
      </x:c>
      <x:c r="M82" s="88"/>
      <x:c r="N82" s="91" t="n">
        <x:v>2</x:v>
      </x:c>
      <x:c r="O82" s="92" t="b">
        <x:v>1</x:v>
      </x:c>
      <x:c r="P82" s="88"/>
    </x:row>
    <x:row r="83">
      <x:c r="A83" s="56" t="str">
        <x:v>clear-smog</x:v>
      </x:c>
      <x:c r="B83" s="56" t="str">
        <x:v>クリアスモッグ</x:v>
      </x:c>
      <x:c r="C83" s="56" t="str">
        <x:v>Clear Smog</x:v>
      </x:c>
      <x:c r="D83" s="85" t="str">
        <x:v>どく</x:v>
      </x:c>
      <x:c r="E83" s="86" t="n">
        <x:v>50</x:v>
      </x:c>
      <x:c r="F83" s="85" t="str">
        <x:v>特殊</x:v>
      </x:c>
      <x:c r="G83" s="85" t="str">
        <x:v>単体対象</x:v>
      </x:c>
      <x:c r="H83" s="87" t="b">
        <x:v>1</x:v>
      </x:c>
      <x:c r="I83" s="88"/>
      <x:c r="J83" s="89"/>
      <x:c r="K83" s="88"/>
      <x:c r="L83" s="90" t="n">
        <x:v>0</x:v>
      </x:c>
      <x:c r="M83" s="88"/>
      <x:c r="N83" s="91" t="n">
        <x:v>43</x:v>
      </x:c>
      <x:c r="O83" s="92" t="b">
        <x:v>0</x:v>
      </x:c>
      <x:c r="P83" s="88"/>
    </x:row>
    <x:row r="84">
      <x:c r="A84" s="56" t="str">
        <x:v>close-combat</x:v>
      </x:c>
      <x:c r="B84" s="56" t="str">
        <x:v>インファイト</x:v>
      </x:c>
      <x:c r="C84" s="56" t="str">
        <x:v>Close Combat</x:v>
      </x:c>
      <x:c r="D84" s="85" t="str">
        <x:v>かくとう</x:v>
      </x:c>
      <x:c r="E84" s="86" t="n">
        <x:v>120</x:v>
      </x:c>
      <x:c r="F84" s="85" t="str">
        <x:v>物理</x:v>
      </x:c>
      <x:c r="G84" s="85" t="str">
        <x:v>単体対象</x:v>
      </x:c>
      <x:c r="H84" s="87" t="b">
        <x:v>1</x:v>
      </x:c>
      <x:c r="I84" s="88"/>
      <x:c r="J84" s="89"/>
      <x:c r="K84" s="88"/>
      <x:c r="L84" s="90" t="n">
        <x:v>0</x:v>
      </x:c>
      <x:c r="M84" s="88"/>
      <x:c r="N84" s="91" t="n">
        <x:v>167</x:v>
      </x:c>
      <x:c r="O84" s="92" t="b">
        <x:v>0</x:v>
      </x:c>
      <x:c r="P84" s="88"/>
    </x:row>
    <x:row r="85">
      <x:c r="A85" s="56" t="str">
        <x:v>collision-course</x:v>
      </x:c>
      <x:c r="B85" s="56" t="str">
        <x:v>アクセルブレイク</x:v>
      </x:c>
      <x:c r="C85" s="56" t="str">
        <x:v>Collision Course</x:v>
      </x:c>
      <x:c r="D85" s="85" t="str">
        <x:v>かくとう</x:v>
      </x:c>
      <x:c r="E85" s="86" t="n">
        <x:v>100</x:v>
      </x:c>
      <x:c r="F85" s="85" t="str">
        <x:v>物理</x:v>
      </x:c>
      <x:c r="G85" s="85" t="str">
        <x:v>単体対象</x:v>
      </x:c>
      <x:c r="H85" s="87" t="b">
        <x:v>1</x:v>
      </x:c>
      <x:c r="I85" s="88"/>
      <x:c r="J85" s="89"/>
      <x:c r="K85" s="88"/>
      <x:c r="L85" s="90" t="n">
        <x:v>0</x:v>
      </x:c>
      <x:c r="M85" s="88"/>
      <x:c r="N85" s="91" t="n">
        <x:v>5</x:v>
      </x:c>
      <x:c r="O85" s="92" t="b">
        <x:v>0</x:v>
      </x:c>
      <x:c r="P85" s="88"/>
    </x:row>
    <x:row r="86">
      <x:c r="A86" s="56" t="str">
        <x:v>comet-punch</x:v>
      </x:c>
      <x:c r="B86" s="56" t="str">
        <x:v>れんぞくパンチ</x:v>
      </x:c>
      <x:c r="C86" s="56" t="str">
        <x:v>Comet Punch</x:v>
      </x:c>
      <x:c r="D86" s="85" t="str">
        <x:v>ノーマル</x:v>
      </x:c>
      <x:c r="E86" s="86" t="n">
        <x:v>18</x:v>
      </x:c>
      <x:c r="F86" s="85" t="str">
        <x:v>物理</x:v>
      </x:c>
      <x:c r="G86" s="85" t="str">
        <x:v>単体対象</x:v>
      </x:c>
      <x:c r="H86" s="87" t="b">
        <x:v>1</x:v>
      </x:c>
      <x:c r="I86" s="88"/>
      <x:c r="J86" s="89"/>
      <x:c r="K86" s="88"/>
      <x:c r="L86" s="90" t="n">
        <x:v>0</x:v>
      </x:c>
      <x:c r="M86" s="88"/>
      <x:c r="N86" s="91" t="n">
        <x:v>9</x:v>
      </x:c>
      <x:c r="O86" s="92" t="b">
        <x:v>0</x:v>
      </x:c>
      <x:c r="P86" s="88"/>
    </x:row>
    <x:row r="87">
      <x:c r="A87" s="56" t="str">
        <x:v>comeuppance</x:v>
      </x:c>
      <x:c r="B87" s="56" t="str">
        <x:v>ほうふく</x:v>
      </x:c>
      <x:c r="C87" s="56" t="str">
        <x:v>Comeuppance</x:v>
      </x:c>
      <x:c r="D87" s="85" t="str">
        <x:v>あく</x:v>
      </x:c>
      <x:c r="E87" s="86" t="n">
        <x:v>1</x:v>
      </x:c>
      <x:c r="F87" s="85" t="str">
        <x:v>物理</x:v>
      </x:c>
      <x:c r="G87" s="85" t="str">
        <x:v>単体対象</x:v>
      </x:c>
      <x:c r="H87" s="87" t="b">
        <x:v>1</x:v>
      </x:c>
      <x:c r="I87" s="88"/>
      <x:c r="J87" s="89"/>
      <x:c r="K87" s="88"/>
      <x:c r="L87" s="90" t="n">
        <x:v>0</x:v>
      </x:c>
      <x:c r="M87" s="88"/>
      <x:c r="N87" s="91" t="n">
        <x:v>8</x:v>
      </x:c>
      <x:c r="O87" s="92" t="b">
        <x:v>0</x:v>
      </x:c>
      <x:c r="P87" s="88"/>
    </x:row>
    <x:row r="88">
      <x:c r="A88" s="56" t="str">
        <x:v>confusion</x:v>
      </x:c>
      <x:c r="B88" s="56" t="str">
        <x:v>ねんりき</x:v>
      </x:c>
      <x:c r="C88" s="56" t="str">
        <x:v>Confusion</x:v>
      </x:c>
      <x:c r="D88" s="85" t="str">
        <x:v>エスパー</x:v>
      </x:c>
      <x:c r="E88" s="86" t="n">
        <x:v>50</x:v>
      </x:c>
      <x:c r="F88" s="85" t="str">
        <x:v>特殊</x:v>
      </x:c>
      <x:c r="G88" s="85" t="str">
        <x:v>単体対象</x:v>
      </x:c>
      <x:c r="H88" s="87" t="b">
        <x:v>1</x:v>
      </x:c>
      <x:c r="I88" s="88"/>
      <x:c r="J88" s="89"/>
      <x:c r="K88" s="88"/>
      <x:c r="L88" s="90" t="n">
        <x:v>0</x:v>
      </x:c>
      <x:c r="M88" s="88"/>
      <x:c r="N88" s="91" t="n">
        <x:v>128</x:v>
      </x:c>
      <x:c r="O88" s="92" t="b">
        <x:v>0</x:v>
      </x:c>
      <x:c r="P88" s="88"/>
    </x:row>
    <x:row r="89">
      <x:c r="A89" s="56" t="str">
        <x:v>constrict</x:v>
      </x:c>
      <x:c r="B89" s="56" t="str">
        <x:v>からみつく</x:v>
      </x:c>
      <x:c r="C89" s="56" t="str">
        <x:v>Constrict</x:v>
      </x:c>
      <x:c r="D89" s="85" t="str">
        <x:v>ノーマル</x:v>
      </x:c>
      <x:c r="E89" s="86" t="n">
        <x:v>10</x:v>
      </x:c>
      <x:c r="F89" s="85" t="str">
        <x:v>物理</x:v>
      </x:c>
      <x:c r="G89" s="85" t="str">
        <x:v>単体対象</x:v>
      </x:c>
      <x:c r="H89" s="87" t="b">
        <x:v>1</x:v>
      </x:c>
      <x:c r="I89" s="88"/>
      <x:c r="J89" s="89"/>
      <x:c r="K89" s="88"/>
      <x:c r="L89" s="90" t="n">
        <x:v>0</x:v>
      </x:c>
      <x:c r="M89" s="88"/>
      <x:c r="N89" s="91" t="n">
        <x:v>18</x:v>
      </x:c>
      <x:c r="O89" s="92" t="b">
        <x:v>0</x:v>
      </x:c>
      <x:c r="P89" s="88"/>
    </x:row>
    <x:row r="90">
      <x:c r="A90" s="56" t="str">
        <x:v>core-enforcer</x:v>
      </x:c>
      <x:c r="B90" s="56" t="str">
        <x:v>コアパニッシャー</x:v>
      </x:c>
      <x:c r="C90" s="56" t="str">
        <x:v>Core Enforcer</x:v>
      </x:c>
      <x:c r="D90" s="85" t="str">
        <x:v>ドラゴン</x:v>
      </x:c>
      <x:c r="E90" s="86" t="n">
        <x:v>100</x:v>
      </x:c>
      <x:c r="F90" s="85" t="str">
        <x:v>特殊</x:v>
      </x:c>
      <x:c r="G90" s="85" t="str">
        <x:v>複数対象</x:v>
      </x:c>
      <x:c r="H90" s="87" t="b">
        <x:v>1</x:v>
      </x:c>
      <x:c r="I90" s="88"/>
      <x:c r="J90" s="89"/>
      <x:c r="K90" s="88"/>
      <x:c r="L90" s="90" t="n">
        <x:v>0</x:v>
      </x:c>
      <x:c r="M90" s="88"/>
      <x:c r="N90" s="91" t="n">
        <x:v>5</x:v>
      </x:c>
      <x:c r="O90" s="92" t="b">
        <x:v>1</x:v>
      </x:c>
      <x:c r="P90" s="88"/>
    </x:row>
    <x:row r="91">
      <x:c r="A91" s="56" t="str">
        <x:v>covet</x:v>
      </x:c>
      <x:c r="B91" s="56" t="str">
        <x:v>ほしがる</x:v>
      </x:c>
      <x:c r="C91" s="56" t="str">
        <x:v>Covet</x:v>
      </x:c>
      <x:c r="D91" s="85" t="str">
        <x:v>ノーマル</x:v>
      </x:c>
      <x:c r="E91" s="86" t="n">
        <x:v>60</x:v>
      </x:c>
      <x:c r="F91" s="85" t="str">
        <x:v>物理</x:v>
      </x:c>
      <x:c r="G91" s="85" t="str">
        <x:v>単体対象</x:v>
      </x:c>
      <x:c r="H91" s="87" t="b">
        <x:v>1</x:v>
      </x:c>
      <x:c r="I91" s="88"/>
      <x:c r="J91" s="89"/>
      <x:c r="K91" s="88"/>
      <x:c r="L91" s="90" t="n">
        <x:v>0</x:v>
      </x:c>
      <x:c r="M91" s="88"/>
      <x:c r="N91" s="91" t="n">
        <x:v>253</x:v>
      </x:c>
      <x:c r="O91" s="92" t="b">
        <x:v>0</x:v>
      </x:c>
      <x:c r="P91" s="88"/>
    </x:row>
    <x:row r="92">
      <x:c r="A92" s="56" t="str">
        <x:v>crabhammer</x:v>
      </x:c>
      <x:c r="B92" s="56" t="str">
        <x:v>クラブハンマー</x:v>
      </x:c>
      <x:c r="C92" s="56" t="str">
        <x:v>Crabhammer</x:v>
      </x:c>
      <x:c r="D92" s="85" t="str">
        <x:v>みず</x:v>
      </x:c>
      <x:c r="E92" s="86" t="n">
        <x:v>100</x:v>
      </x:c>
      <x:c r="F92" s="85" t="str">
        <x:v>物理</x:v>
      </x:c>
      <x:c r="G92" s="85" t="str">
        <x:v>単体対象</x:v>
      </x:c>
      <x:c r="H92" s="87" t="b">
        <x:v>1</x:v>
      </x:c>
      <x:c r="I92" s="88"/>
      <x:c r="J92" s="89"/>
      <x:c r="K92" s="88"/>
      <x:c r="L92" s="90" t="n">
        <x:v>0</x:v>
      </x:c>
      <x:c r="M92" s="88"/>
      <x:c r="N92" s="91" t="n">
        <x:v>12</x:v>
      </x:c>
      <x:c r="O92" s="92" t="b">
        <x:v>0</x:v>
      </x:c>
      <x:c r="P92" s="88"/>
    </x:row>
    <x:row r="93">
      <x:c r="A93" s="56" t="str">
        <x:v>cross-chop</x:v>
      </x:c>
      <x:c r="B93" s="56" t="str">
        <x:v>クロスチョップ</x:v>
      </x:c>
      <x:c r="C93" s="56" t="str">
        <x:v>Cross Chop</x:v>
      </x:c>
      <x:c r="D93" s="85" t="str">
        <x:v>かくとう</x:v>
      </x:c>
      <x:c r="E93" s="86" t="n">
        <x:v>100</x:v>
      </x:c>
      <x:c r="F93" s="85" t="str">
        <x:v>物理</x:v>
      </x:c>
      <x:c r="G93" s="85" t="str">
        <x:v>単体対象</x:v>
      </x:c>
      <x:c r="H93" s="87" t="b">
        <x:v>1</x:v>
      </x:c>
      <x:c r="I93" s="88"/>
      <x:c r="J93" s="89"/>
      <x:c r="K93" s="88"/>
      <x:c r="L93" s="90" t="n">
        <x:v>0</x:v>
      </x:c>
      <x:c r="M93" s="88"/>
      <x:c r="N93" s="91" t="n">
        <x:v>26</x:v>
      </x:c>
      <x:c r="O93" s="92" t="b">
        <x:v>0</x:v>
      </x:c>
      <x:c r="P93" s="88"/>
    </x:row>
    <x:row r="94">
      <x:c r="A94" s="56" t="str">
        <x:v>cross-poison</x:v>
      </x:c>
      <x:c r="B94" s="56" t="str">
        <x:v>クロスポイズン</x:v>
      </x:c>
      <x:c r="C94" s="56" t="str">
        <x:v>Cross Poison</x:v>
      </x:c>
      <x:c r="D94" s="85" t="str">
        <x:v>どく</x:v>
      </x:c>
      <x:c r="E94" s="86" t="n">
        <x:v>70</x:v>
      </x:c>
      <x:c r="F94" s="85" t="str">
        <x:v>物理</x:v>
      </x:c>
      <x:c r="G94" s="85" t="str">
        <x:v>単体対象</x:v>
      </x:c>
      <x:c r="H94" s="87" t="b">
        <x:v>1</x:v>
      </x:c>
      <x:c r="I94" s="88"/>
      <x:c r="J94" s="89"/>
      <x:c r="K94" s="88"/>
      <x:c r="L94" s="90" t="n">
        <x:v>0</x:v>
      </x:c>
      <x:c r="M94" s="88"/>
      <x:c r="N94" s="91" t="n">
        <x:v>39</x:v>
      </x:c>
      <x:c r="O94" s="92" t="b">
        <x:v>0</x:v>
      </x:c>
      <x:c r="P94" s="88"/>
    </x:row>
    <x:row r="95">
      <x:c r="A95" s="56" t="str">
        <x:v>crunch</x:v>
      </x:c>
      <x:c r="B95" s="56" t="str">
        <x:v>かみくだく</x:v>
      </x:c>
      <x:c r="C95" s="56" t="str">
        <x:v>Crunch</x:v>
      </x:c>
      <x:c r="D95" s="85" t="str">
        <x:v>あく</x:v>
      </x:c>
      <x:c r="E95" s="86" t="n">
        <x:v>80</x:v>
      </x:c>
      <x:c r="F95" s="85" t="str">
        <x:v>物理</x:v>
      </x:c>
      <x:c r="G95" s="85" t="str">
        <x:v>単体対象</x:v>
      </x:c>
      <x:c r="H95" s="87" t="b">
        <x:v>1</x:v>
      </x:c>
      <x:c r="I95" s="88"/>
      <x:c r="J95" s="89"/>
      <x:c r="K95" s="88"/>
      <x:c r="L95" s="90" t="n">
        <x:v>0</x:v>
      </x:c>
      <x:c r="M95" s="88"/>
      <x:c r="N95" s="91" t="n">
        <x:v>299</x:v>
      </x:c>
      <x:c r="O95" s="92" t="b">
        <x:v>0</x:v>
      </x:c>
      <x:c r="P95" s="88"/>
    </x:row>
    <x:row r="96">
      <x:c r="A96" s="56" t="str">
        <x:v>crush-claw</x:v>
      </x:c>
      <x:c r="B96" s="56" t="str">
        <x:v>ブレイククロー</x:v>
      </x:c>
      <x:c r="C96" s="56" t="str">
        <x:v>Crush Claw</x:v>
      </x:c>
      <x:c r="D96" s="85" t="str">
        <x:v>ノーマル</x:v>
      </x:c>
      <x:c r="E96" s="86" t="n">
        <x:v>75</x:v>
      </x:c>
      <x:c r="F96" s="85" t="str">
        <x:v>物理</x:v>
      </x:c>
      <x:c r="G96" s="85" t="str">
        <x:v>単体対象</x:v>
      </x:c>
      <x:c r="H96" s="87" t="b">
        <x:v>1</x:v>
      </x:c>
      <x:c r="I96" s="88"/>
      <x:c r="J96" s="89"/>
      <x:c r="K96" s="88"/>
      <x:c r="L96" s="90" t="n">
        <x:v>0</x:v>
      </x:c>
      <x:c r="M96" s="88"/>
      <x:c r="N96" s="91" t="n">
        <x:v>32</x:v>
      </x:c>
      <x:c r="O96" s="92" t="b">
        <x:v>0</x:v>
      </x:c>
      <x:c r="P96" s="88"/>
    </x:row>
    <x:row r="97">
      <x:c r="A97" s="56" t="str">
        <x:v>cut</x:v>
      </x:c>
      <x:c r="B97" s="56" t="str">
        <x:v>いあいぎり</x:v>
      </x:c>
      <x:c r="C97" s="56" t="str">
        <x:v>Cut</x:v>
      </x:c>
      <x:c r="D97" s="85" t="str">
        <x:v>ノーマル</x:v>
      </x:c>
      <x:c r="E97" s="86" t="n">
        <x:v>50</x:v>
      </x:c>
      <x:c r="F97" s="85" t="str">
        <x:v>物理</x:v>
      </x:c>
      <x:c r="G97" s="85" t="str">
        <x:v>単体対象</x:v>
      </x:c>
      <x:c r="H97" s="87" t="b">
        <x:v>1</x:v>
      </x:c>
      <x:c r="I97" s="88"/>
      <x:c r="J97" s="89"/>
      <x:c r="K97" s="88"/>
      <x:c r="L97" s="90" t="n">
        <x:v>0</x:v>
      </x:c>
      <x:c r="M97" s="88"/>
      <x:c r="N97" s="91" t="n">
        <x:v>292</x:v>
      </x:c>
      <x:c r="O97" s="92" t="b">
        <x:v>0</x:v>
      </x:c>
      <x:c r="P97" s="88"/>
    </x:row>
    <x:row r="98">
      <x:c r="A98" s="56" t="str">
        <x:v>dark-pulse</x:v>
      </x:c>
      <x:c r="B98" s="56" t="str">
        <x:v>あくのはどう</x:v>
      </x:c>
      <x:c r="C98" s="56" t="str">
        <x:v>Dark Pulse</x:v>
      </x:c>
      <x:c r="D98" s="85" t="str">
        <x:v>あく</x:v>
      </x:c>
      <x:c r="E98" s="86" t="n">
        <x:v>80</x:v>
      </x:c>
      <x:c r="F98" s="85" t="str">
        <x:v>特殊</x:v>
      </x:c>
      <x:c r="G98" s="85" t="str">
        <x:v>単体対象</x:v>
      </x:c>
      <x:c r="H98" s="87" t="b">
        <x:v>1</x:v>
      </x:c>
      <x:c r="I98" s="88"/>
      <x:c r="J98" s="89"/>
      <x:c r="K98" s="88"/>
      <x:c r="L98" s="90" t="n">
        <x:v>0</x:v>
      </x:c>
      <x:c r="M98" s="88"/>
      <x:c r="N98" s="91" t="n">
        <x:v>246</x:v>
      </x:c>
      <x:c r="O98" s="92" t="b">
        <x:v>0</x:v>
      </x:c>
      <x:c r="P98" s="88"/>
    </x:row>
    <x:row r="99">
      <x:c r="A99" s="56" t="str">
        <x:v>darkest-lariat</x:v>
      </x:c>
      <x:c r="B99" s="56" t="str">
        <x:v>ＤＤラリアット</x:v>
      </x:c>
      <x:c r="C99" s="56" t="str">
        <x:v>Darkest Lariat</x:v>
      </x:c>
      <x:c r="D99" s="85" t="str">
        <x:v>あく</x:v>
      </x:c>
      <x:c r="E99" s="86" t="n">
        <x:v>85</x:v>
      </x:c>
      <x:c r="F99" s="85" t="str">
        <x:v>物理</x:v>
      </x:c>
      <x:c r="G99" s="85" t="str">
        <x:v>単体対象</x:v>
      </x:c>
      <x:c r="H99" s="87" t="b">
        <x:v>1</x:v>
      </x:c>
      <x:c r="I99" s="88"/>
      <x:c r="J99" s="89"/>
      <x:c r="K99" s="88"/>
      <x:c r="L99" s="90" t="n">
        <x:v>0</x:v>
      </x:c>
      <x:c r="M99" s="88"/>
      <x:c r="N99" s="91" t="n">
        <x:v>21</x:v>
      </x:c>
      <x:c r="O99" s="92" t="b">
        <x:v>0</x:v>
      </x:c>
      <x:c r="P99" s="88"/>
    </x:row>
    <x:row r="100">
      <x:c r="A100" s="56" t="str">
        <x:v>dazzling-gleam</x:v>
      </x:c>
      <x:c r="B100" s="56" t="str">
        <x:v>マジカルシャイン</x:v>
      </x:c>
      <x:c r="C100" s="56" t="str">
        <x:v>Dazzling Gleam</x:v>
      </x:c>
      <x:c r="D100" s="85" t="str">
        <x:v>フェアリー</x:v>
      </x:c>
      <x:c r="E100" s="86" t="n">
        <x:v>80</x:v>
      </x:c>
      <x:c r="F100" s="85" t="str">
        <x:v>特殊</x:v>
      </x:c>
      <x:c r="G100" s="85" t="str">
        <x:v>複数対象</x:v>
      </x:c>
      <x:c r="H100" s="87" t="b">
        <x:v>1</x:v>
      </x:c>
      <x:c r="I100" s="88"/>
      <x:c r="J100" s="89"/>
      <x:c r="K100" s="88"/>
      <x:c r="L100" s="90" t="n">
        <x:v>0</x:v>
      </x:c>
      <x:c r="M100" s="88"/>
      <x:c r="N100" s="91" t="n">
        <x:v>218</x:v>
      </x:c>
      <x:c r="O100" s="92" t="b">
        <x:v>1</x:v>
      </x:c>
      <x:c r="P100" s="88"/>
    </x:row>
    <x:row r="101">
      <x:c r="A101" s="56" t="str">
        <x:v>diamond-storm</x:v>
      </x:c>
      <x:c r="B101" s="56" t="str">
        <x:v>ダイヤストーム</x:v>
      </x:c>
      <x:c r="C101" s="56" t="str">
        <x:v>Diamond Storm</x:v>
      </x:c>
      <x:c r="D101" s="85" t="str">
        <x:v>いわ</x:v>
      </x:c>
      <x:c r="E101" s="86" t="n">
        <x:v>100</x:v>
      </x:c>
      <x:c r="F101" s="85" t="str">
        <x:v>物理</x:v>
      </x:c>
      <x:c r="G101" s="85" t="str">
        <x:v>複数対象</x:v>
      </x:c>
      <x:c r="H101" s="87" t="b">
        <x:v>1</x:v>
      </x:c>
      <x:c r="I101" s="88"/>
      <x:c r="J101" s="89"/>
      <x:c r="K101" s="88"/>
      <x:c r="L101" s="90" t="n">
        <x:v>0</x:v>
      </x:c>
      <x:c r="M101" s="88"/>
      <x:c r="N101" s="91" t="n">
        <x:v>2</x:v>
      </x:c>
      <x:c r="O101" s="92" t="b">
        <x:v>1</x:v>
      </x:c>
      <x:c r="P101" s="88"/>
    </x:row>
    <x:row r="102">
      <x:c r="A102" s="56" t="str">
        <x:v>dig</x:v>
      </x:c>
      <x:c r="B102" s="56" t="str">
        <x:v>あなをほる</x:v>
      </x:c>
      <x:c r="C102" s="56" t="str">
        <x:v>Dig</x:v>
      </x:c>
      <x:c r="D102" s="85" t="str">
        <x:v>じめん</x:v>
      </x:c>
      <x:c r="E102" s="86" t="n">
        <x:v>80</x:v>
      </x:c>
      <x:c r="F102" s="85" t="str">
        <x:v>物理</x:v>
      </x:c>
      <x:c r="G102" s="85" t="str">
        <x:v>単体対象</x:v>
      </x:c>
      <x:c r="H102" s="87" t="b">
        <x:v>1</x:v>
      </x:c>
      <x:c r="I102" s="88"/>
      <x:c r="J102" s="89"/>
      <x:c r="K102" s="88"/>
      <x:c r="L102" s="90" t="n">
        <x:v>0</x:v>
      </x:c>
      <x:c r="M102" s="88"/>
      <x:c r="N102" s="91" t="n">
        <x:v>503</x:v>
      </x:c>
      <x:c r="O102" s="92" t="b">
        <x:v>0</x:v>
      </x:c>
      <x:c r="P102" s="88"/>
    </x:row>
    <x:row r="103">
      <x:c r="A103" s="56" t="str">
        <x:v>dire-claw</x:v>
      </x:c>
      <x:c r="B103" s="56" t="str">
        <x:v>フェイタルクロー</x:v>
      </x:c>
      <x:c r="C103" s="56" t="str">
        <x:v>Dire Claw</x:v>
      </x:c>
      <x:c r="D103" s="85" t="str">
        <x:v>どく</x:v>
      </x:c>
      <x:c r="E103" s="86" t="n">
        <x:v>80</x:v>
      </x:c>
      <x:c r="F103" s="85" t="str">
        <x:v>物理</x:v>
      </x:c>
      <x:c r="G103" s="85" t="str">
        <x:v>単体対象</x:v>
      </x:c>
      <x:c r="H103" s="87" t="b">
        <x:v>1</x:v>
      </x:c>
      <x:c r="I103" s="88"/>
      <x:c r="J103" s="89"/>
      <x:c r="K103" s="88"/>
      <x:c r="L103" s="90" t="n">
        <x:v>0</x:v>
      </x:c>
      <x:c r="M103" s="88"/>
      <x:c r="N103" s="91" t="n">
        <x:v>1</x:v>
      </x:c>
      <x:c r="O103" s="92" t="b">
        <x:v>0</x:v>
      </x:c>
      <x:c r="P103" s="88"/>
    </x:row>
    <x:row r="104">
      <x:c r="A104" s="56" t="str">
        <x:v>disarming-voice</x:v>
      </x:c>
      <x:c r="B104" s="56" t="str">
        <x:v>チャームボイス</x:v>
      </x:c>
      <x:c r="C104" s="56" t="str">
        <x:v>Disarming Voice</x:v>
      </x:c>
      <x:c r="D104" s="85" t="str">
        <x:v>フェアリー</x:v>
      </x:c>
      <x:c r="E104" s="86" t="n">
        <x:v>40</x:v>
      </x:c>
      <x:c r="F104" s="85" t="str">
        <x:v>特殊</x:v>
      </x:c>
      <x:c r="G104" s="85" t="str">
        <x:v>複数対象</x:v>
      </x:c>
      <x:c r="H104" s="87" t="b">
        <x:v>1</x:v>
      </x:c>
      <x:c r="I104" s="88"/>
      <x:c r="J104" s="89"/>
      <x:c r="K104" s="88"/>
      <x:c r="L104" s="90" t="n">
        <x:v>0</x:v>
      </x:c>
      <x:c r="M104" s="88"/>
      <x:c r="N104" s="91" t="n">
        <x:v>105</x:v>
      </x:c>
      <x:c r="O104" s="92" t="b">
        <x:v>1</x:v>
      </x:c>
      <x:c r="P104" s="88"/>
    </x:row>
    <x:row r="105">
      <x:c r="A105" s="56" t="str">
        <x:v>discharge</x:v>
      </x:c>
      <x:c r="B105" s="56" t="str">
        <x:v>ほうでん</x:v>
      </x:c>
      <x:c r="C105" s="56" t="str">
        <x:v>Discharge</x:v>
      </x:c>
      <x:c r="D105" s="85" t="str">
        <x:v>でんき</x:v>
      </x:c>
      <x:c r="E105" s="86" t="n">
        <x:v>80</x:v>
      </x:c>
      <x:c r="F105" s="85" t="str">
        <x:v>特殊</x:v>
      </x:c>
      <x:c r="G105" s="85" t="str">
        <x:v>複数対象</x:v>
      </x:c>
      <x:c r="H105" s="87" t="b">
        <x:v>1</x:v>
      </x:c>
      <x:c r="I105" s="88"/>
      <x:c r="J105" s="89"/>
      <x:c r="K105" s="88"/>
      <x:c r="L105" s="90" t="n">
        <x:v>0</x:v>
      </x:c>
      <x:c r="M105" s="88"/>
      <x:c r="N105" s="91" t="n">
        <x:v>106</x:v>
      </x:c>
      <x:c r="O105" s="92" t="b">
        <x:v>1</x:v>
      </x:c>
      <x:c r="P105" s="88"/>
    </x:row>
    <x:row r="106">
      <x:c r="A106" s="56" t="str">
        <x:v>dive</x:v>
      </x:c>
      <x:c r="B106" s="56" t="str">
        <x:v>ダイビング</x:v>
      </x:c>
      <x:c r="C106" s="56" t="str">
        <x:v>Dive</x:v>
      </x:c>
      <x:c r="D106" s="85" t="str">
        <x:v>みず</x:v>
      </x:c>
      <x:c r="E106" s="86" t="n">
        <x:v>80</x:v>
      </x:c>
      <x:c r="F106" s="85" t="str">
        <x:v>物理</x:v>
      </x:c>
      <x:c r="G106" s="85" t="str">
        <x:v>単体対象</x:v>
      </x:c>
      <x:c r="H106" s="87" t="b">
        <x:v>1</x:v>
      </x:c>
      <x:c r="I106" s="88"/>
      <x:c r="J106" s="89"/>
      <x:c r="K106" s="88"/>
      <x:c r="L106" s="90" t="n">
        <x:v>0</x:v>
      </x:c>
      <x:c r="M106" s="88"/>
      <x:c r="N106" s="91" t="n">
        <x:v>166</x:v>
      </x:c>
      <x:c r="O106" s="92" t="b">
        <x:v>0</x:v>
      </x:c>
      <x:c r="P106" s="88"/>
    </x:row>
    <x:row r="107">
      <x:c r="A107" s="56" t="str">
        <x:v>dizzy-punch</x:v>
      </x:c>
      <x:c r="B107" s="56" t="str">
        <x:v>ピヨピヨパンチ</x:v>
      </x:c>
      <x:c r="C107" s="56" t="str">
        <x:v>Dizzy Punch</x:v>
      </x:c>
      <x:c r="D107" s="85" t="str">
        <x:v>ノーマル</x:v>
      </x:c>
      <x:c r="E107" s="86" t="n">
        <x:v>70</x:v>
      </x:c>
      <x:c r="F107" s="85" t="str">
        <x:v>物理</x:v>
      </x:c>
      <x:c r="G107" s="85" t="str">
        <x:v>単体対象</x:v>
      </x:c>
      <x:c r="H107" s="87" t="b">
        <x:v>1</x:v>
      </x:c>
      <x:c r="I107" s="88"/>
      <x:c r="J107" s="89"/>
      <x:c r="K107" s="88"/>
      <x:c r="L107" s="90" t="n">
        <x:v>0</x:v>
      </x:c>
      <x:c r="M107" s="88"/>
      <x:c r="N107" s="91" t="n">
        <x:v>15</x:v>
      </x:c>
      <x:c r="O107" s="92" t="b">
        <x:v>0</x:v>
      </x:c>
      <x:c r="P107" s="88"/>
    </x:row>
    <x:row r="108">
      <x:c r="A108" s="56" t="str">
        <x:v>doom-desire</x:v>
      </x:c>
      <x:c r="B108" s="56" t="str">
        <x:v>はめつのねがい</x:v>
      </x:c>
      <x:c r="C108" s="56" t="str">
        <x:v>Doom Desire</x:v>
      </x:c>
      <x:c r="D108" s="85" t="str">
        <x:v>はがね</x:v>
      </x:c>
      <x:c r="E108" s="86" t="n">
        <x:v>140</x:v>
      </x:c>
      <x:c r="F108" s="85" t="str">
        <x:v>特殊</x:v>
      </x:c>
      <x:c r="G108" s="85" t="str">
        <x:v>単体対象</x:v>
      </x:c>
      <x:c r="H108" s="87" t="b">
        <x:v>1</x:v>
      </x:c>
      <x:c r="I108" s="88"/>
      <x:c r="J108" s="89"/>
      <x:c r="K108" s="88"/>
      <x:c r="L108" s="90" t="n">
        <x:v>0</x:v>
      </x:c>
      <x:c r="M108" s="88"/>
      <x:c r="N108" s="91" t="n">
        <x:v>1</x:v>
      </x:c>
      <x:c r="O108" s="92" t="b">
        <x:v>0</x:v>
      </x:c>
      <x:c r="P108" s="88"/>
    </x:row>
    <x:row r="109">
      <x:c r="A109" s="56" t="str">
        <x:v>double-edge</x:v>
      </x:c>
      <x:c r="B109" s="56" t="str">
        <x:v>すてみタックル</x:v>
      </x:c>
      <x:c r="C109" s="56" t="str">
        <x:v>Double-Edge</x:v>
      </x:c>
      <x:c r="D109" s="85" t="str">
        <x:v>ノーマル</x:v>
      </x:c>
      <x:c r="E109" s="86" t="n">
        <x:v>120</x:v>
      </x:c>
      <x:c r="F109" s="85" t="str">
        <x:v>物理</x:v>
      </x:c>
      <x:c r="G109" s="85" t="str">
        <x:v>単体対象</x:v>
      </x:c>
      <x:c r="H109" s="87" t="b">
        <x:v>1</x:v>
      </x:c>
      <x:c r="I109" s="88"/>
      <x:c r="J109" s="89"/>
      <x:c r="K109" s="88"/>
      <x:c r="L109" s="90" t="n">
        <x:v>0</x:v>
      </x:c>
      <x:c r="M109" s="88"/>
      <x:c r="N109" s="91" t="n">
        <x:v>711</x:v>
      </x:c>
      <x:c r="O109" s="92" t="b">
        <x:v>0</x:v>
      </x:c>
      <x:c r="P109" s="88"/>
    </x:row>
    <x:row r="110">
      <x:c r="A110" s="56" t="str">
        <x:v>double-hit</x:v>
      </x:c>
      <x:c r="B110" s="56" t="str">
        <x:v>ダブルアタック</x:v>
      </x:c>
      <x:c r="C110" s="56" t="str">
        <x:v>Double Hit</x:v>
      </x:c>
      <x:c r="D110" s="85" t="str">
        <x:v>ノーマル</x:v>
      </x:c>
      <x:c r="E110" s="86" t="n">
        <x:v>35</x:v>
      </x:c>
      <x:c r="F110" s="85" t="str">
        <x:v>物理</x:v>
      </x:c>
      <x:c r="G110" s="85" t="str">
        <x:v>単体対象</x:v>
      </x:c>
      <x:c r="H110" s="87" t="b">
        <x:v>1</x:v>
      </x:c>
      <x:c r="I110" s="88"/>
      <x:c r="J110" s="89"/>
      <x:c r="K110" s="88"/>
      <x:c r="L110" s="90" t="n">
        <x:v>0</x:v>
      </x:c>
      <x:c r="M110" s="88"/>
      <x:c r="N110" s="91" t="n">
        <x:v>66</x:v>
      </x:c>
      <x:c r="O110" s="92" t="b">
        <x:v>0</x:v>
      </x:c>
      <x:c r="P110" s="88"/>
    </x:row>
    <x:row r="111">
      <x:c r="A111" s="56" t="str">
        <x:v>double-iron-bash</x:v>
      </x:c>
      <x:c r="B111" s="56" t="str">
        <x:v>ダブルパンツァー</x:v>
      </x:c>
      <x:c r="C111" s="56" t="str">
        <x:v>Double Iron Bash</x:v>
      </x:c>
      <x:c r="D111" s="85" t="str">
        <x:v>はがね</x:v>
      </x:c>
      <x:c r="E111" s="86" t="n">
        <x:v>60</x:v>
      </x:c>
      <x:c r="F111" s="85" t="str">
        <x:v>物理</x:v>
      </x:c>
      <x:c r="G111" s="85" t="str">
        <x:v>単体対象</x:v>
      </x:c>
      <x:c r="H111" s="87" t="b">
        <x:v>1</x:v>
      </x:c>
      <x:c r="I111" s="88"/>
      <x:c r="J111" s="89"/>
      <x:c r="K111" s="88"/>
      <x:c r="L111" s="90" t="n">
        <x:v>0</x:v>
      </x:c>
      <x:c r="M111" s="88"/>
      <x:c r="N111" s="91" t="n">
        <x:v>1</x:v>
      </x:c>
      <x:c r="O111" s="92" t="b">
        <x:v>0</x:v>
      </x:c>
      <x:c r="P111" s="88"/>
    </x:row>
    <x:row r="112">
      <x:c r="A112" s="56" t="str">
        <x:v>double-kick</x:v>
      </x:c>
      <x:c r="B112" s="56" t="str">
        <x:v>にどげり</x:v>
      </x:c>
      <x:c r="C112" s="56" t="str">
        <x:v>Double Kick</x:v>
      </x:c>
      <x:c r="D112" s="85" t="str">
        <x:v>かくとう</x:v>
      </x:c>
      <x:c r="E112" s="86" t="n">
        <x:v>30</x:v>
      </x:c>
      <x:c r="F112" s="85" t="str">
        <x:v>物理</x:v>
      </x:c>
      <x:c r="G112" s="85" t="str">
        <x:v>単体対象</x:v>
      </x:c>
      <x:c r="H112" s="87" t="b">
        <x:v>1</x:v>
      </x:c>
      <x:c r="I112" s="88"/>
      <x:c r="J112" s="89"/>
      <x:c r="K112" s="88"/>
      <x:c r="L112" s="90" t="n">
        <x:v>0</x:v>
      </x:c>
      <x:c r="M112" s="88"/>
      <x:c r="N112" s="91" t="n">
        <x:v>81</x:v>
      </x:c>
      <x:c r="O112" s="92" t="b">
        <x:v>0</x:v>
      </x:c>
      <x:c r="P112" s="88"/>
    </x:row>
    <x:row r="113">
      <x:c r="A113" s="56" t="str">
        <x:v>double-shock</x:v>
      </x:c>
      <x:c r="B113" s="56" t="str">
        <x:v>でんこうそうげき</x:v>
      </x:c>
      <x:c r="C113" s="56" t="str">
        <x:v>Double Shock</x:v>
      </x:c>
      <x:c r="D113" s="85" t="str">
        <x:v>でんき</x:v>
      </x:c>
      <x:c r="E113" s="86" t="n">
        <x:v>120</x:v>
      </x:c>
      <x:c r="F113" s="85" t="str">
        <x:v>物理</x:v>
      </x:c>
      <x:c r="G113" s="85" t="str">
        <x:v>単体対象</x:v>
      </x:c>
      <x:c r="H113" s="87" t="b">
        <x:v>1</x:v>
      </x:c>
      <x:c r="I113" s="88"/>
      <x:c r="J113" s="89"/>
      <x:c r="K113" s="88"/>
      <x:c r="L113" s="90" t="n">
        <x:v>0</x:v>
      </x:c>
      <x:c r="M113" s="88"/>
      <x:c r="N113" s="91" t="n">
        <x:v>1</x:v>
      </x:c>
      <x:c r="O113" s="92" t="b">
        <x:v>0</x:v>
      </x:c>
      <x:c r="P113" s="88"/>
    </x:row>
    <x:row r="114">
      <x:c r="A114" s="56" t="str">
        <x:v>double-slap</x:v>
      </x:c>
      <x:c r="B114" s="56" t="str">
        <x:v>おうふくビンタ</x:v>
      </x:c>
      <x:c r="C114" s="56" t="str">
        <x:v>Double Slap</x:v>
      </x:c>
      <x:c r="D114" s="85" t="str">
        <x:v>ノーマル</x:v>
      </x:c>
      <x:c r="E114" s="86" t="n">
        <x:v>15</x:v>
      </x:c>
      <x:c r="F114" s="85" t="str">
        <x:v>物理</x:v>
      </x:c>
      <x:c r="G114" s="85" t="str">
        <x:v>単体対象</x:v>
      </x:c>
      <x:c r="H114" s="87" t="b">
        <x:v>1</x:v>
      </x:c>
      <x:c r="I114" s="88"/>
      <x:c r="J114" s="89"/>
      <x:c r="K114" s="88"/>
      <x:c r="L114" s="90" t="n">
        <x:v>0</x:v>
      </x:c>
      <x:c r="M114" s="88"/>
      <x:c r="N114" s="91" t="n">
        <x:v>43</x:v>
      </x:c>
      <x:c r="O114" s="92" t="b">
        <x:v>0</x:v>
      </x:c>
      <x:c r="P114" s="88"/>
    </x:row>
    <x:row r="115">
      <x:c r="A115" s="56" t="str">
        <x:v>draco-meteor</x:v>
      </x:c>
      <x:c r="B115" s="56" t="str">
        <x:v>りゅうせいぐん</x:v>
      </x:c>
      <x:c r="C115" s="56" t="str">
        <x:v>Draco Meteor</x:v>
      </x:c>
      <x:c r="D115" s="85" t="str">
        <x:v>ドラゴン</x:v>
      </x:c>
      <x:c r="E115" s="86" t="n">
        <x:v>130</x:v>
      </x:c>
      <x:c r="F115" s="85" t="str">
        <x:v>特殊</x:v>
      </x:c>
      <x:c r="G115" s="85" t="str">
        <x:v>単体対象</x:v>
      </x:c>
      <x:c r="H115" s="87" t="b">
        <x:v>1</x:v>
      </x:c>
      <x:c r="I115" s="88"/>
      <x:c r="J115" s="89"/>
      <x:c r="K115" s="88"/>
      <x:c r="L115" s="90" t="n">
        <x:v>0</x:v>
      </x:c>
      <x:c r="M115" s="88"/>
      <x:c r="N115" s="91" t="n">
        <x:v>105</x:v>
      </x:c>
      <x:c r="O115" s="92" t="b">
        <x:v>0</x:v>
      </x:c>
      <x:c r="P115" s="88"/>
    </x:row>
    <x:row r="116">
      <x:c r="A116" s="56" t="str">
        <x:v>dragon-ascent</x:v>
      </x:c>
      <x:c r="B116" s="56" t="str">
        <x:v>ガリョウテンセイ</x:v>
      </x:c>
      <x:c r="C116" s="56" t="str">
        <x:v>Dragon Ascent</x:v>
      </x:c>
      <x:c r="D116" s="85" t="str">
        <x:v>ひこう</x:v>
      </x:c>
      <x:c r="E116" s="86" t="n">
        <x:v>120</x:v>
      </x:c>
      <x:c r="F116" s="85" t="str">
        <x:v>物理</x:v>
      </x:c>
      <x:c r="G116" s="85" t="str">
        <x:v>単体対象</x:v>
      </x:c>
      <x:c r="H116" s="87" t="b">
        <x:v>1</x:v>
      </x:c>
      <x:c r="I116" s="88"/>
      <x:c r="J116" s="89"/>
      <x:c r="K116" s="88"/>
      <x:c r="L116" s="90" t="n">
        <x:v>0</x:v>
      </x:c>
      <x:c r="M116" s="88"/>
      <x:c r="N116" s="91" t="n">
        <x:v>2</x:v>
      </x:c>
      <x:c r="O116" s="92" t="b">
        <x:v>0</x:v>
      </x:c>
      <x:c r="P116" s="88"/>
    </x:row>
    <x:row r="117">
      <x:c r="A117" s="56" t="str">
        <x:v>dragon-breath</x:v>
      </x:c>
      <x:c r="B117" s="56" t="str">
        <x:v>りゅうのいぶき</x:v>
      </x:c>
      <x:c r="C117" s="56" t="str">
        <x:v>Dragon Breath</x:v>
      </x:c>
      <x:c r="D117" s="85" t="str">
        <x:v>ドラゴン</x:v>
      </x:c>
      <x:c r="E117" s="86" t="n">
        <x:v>60</x:v>
      </x:c>
      <x:c r="F117" s="85" t="str">
        <x:v>特殊</x:v>
      </x:c>
      <x:c r="G117" s="85" t="str">
        <x:v>単体対象</x:v>
      </x:c>
      <x:c r="H117" s="87" t="b">
        <x:v>1</x:v>
      </x:c>
      <x:c r="I117" s="88"/>
      <x:c r="J117" s="89"/>
      <x:c r="K117" s="88"/>
      <x:c r="L117" s="90" t="n">
        <x:v>0</x:v>
      </x:c>
      <x:c r="M117" s="88"/>
      <x:c r="N117" s="91" t="n">
        <x:v>91</x:v>
      </x:c>
      <x:c r="O117" s="92" t="b">
        <x:v>0</x:v>
      </x:c>
      <x:c r="P117" s="88"/>
    </x:row>
    <x:row r="118">
      <x:c r="A118" s="56" t="str">
        <x:v>dragon-claw</x:v>
      </x:c>
      <x:c r="B118" s="56" t="str">
        <x:v>ドラゴンクロー</x:v>
      </x:c>
      <x:c r="C118" s="56" t="str">
        <x:v>Dragon Claw</x:v>
      </x:c>
      <x:c r="D118" s="85" t="str">
        <x:v>ドラゴン</x:v>
      </x:c>
      <x:c r="E118" s="86" t="n">
        <x:v>80</x:v>
      </x:c>
      <x:c r="F118" s="85" t="str">
        <x:v>物理</x:v>
      </x:c>
      <x:c r="G118" s="85" t="str">
        <x:v>単体対象</x:v>
      </x:c>
      <x:c r="H118" s="87" t="b">
        <x:v>1</x:v>
      </x:c>
      <x:c r="I118" s="88"/>
      <x:c r="J118" s="89"/>
      <x:c r="K118" s="88"/>
      <x:c r="L118" s="90" t="n">
        <x:v>0</x:v>
      </x:c>
      <x:c r="M118" s="88"/>
      <x:c r="N118" s="91" t="n">
        <x:v>114</x:v>
      </x:c>
      <x:c r="O118" s="92" t="b">
        <x:v>0</x:v>
      </x:c>
      <x:c r="P118" s="88"/>
    </x:row>
    <x:row r="119">
      <x:c r="A119" s="56" t="str">
        <x:v>dragon-darts</x:v>
      </x:c>
      <x:c r="B119" s="56" t="str">
        <x:v>ドラゴンアロー</x:v>
      </x:c>
      <x:c r="C119" s="56" t="str">
        <x:v>Dragon Darts</x:v>
      </x:c>
      <x:c r="D119" s="85" t="str">
        <x:v>ドラゴン</x:v>
      </x:c>
      <x:c r="E119" s="86" t="n">
        <x:v>50</x:v>
      </x:c>
      <x:c r="F119" s="85" t="str">
        <x:v>物理</x:v>
      </x:c>
      <x:c r="G119" s="85" t="str">
        <x:v>単体対象</x:v>
      </x:c>
      <x:c r="H119" s="87" t="b">
        <x:v>1</x:v>
      </x:c>
      <x:c r="I119" s="88"/>
      <x:c r="J119" s="89"/>
      <x:c r="K119" s="88"/>
      <x:c r="L119" s="90" t="n">
        <x:v>0</x:v>
      </x:c>
      <x:c r="M119" s="88"/>
      <x:c r="N119" s="91" t="n">
        <x:v>1</x:v>
      </x:c>
      <x:c r="O119" s="92" t="b">
        <x:v>0</x:v>
      </x:c>
      <x:c r="P119" s="88"/>
    </x:row>
    <x:row r="120">
      <x:c r="A120" s="56" t="str">
        <x:v>dragon-energy</x:v>
      </x:c>
      <x:c r="B120" s="56" t="str">
        <x:v>ドラゴンエナジー</x:v>
      </x:c>
      <x:c r="C120" s="56" t="str">
        <x:v>Dragon Energy</x:v>
      </x:c>
      <x:c r="D120" s="85" t="str">
        <x:v>ドラゴン</x:v>
      </x:c>
      <x:c r="E120" s="86" t="n">
        <x:v>150</x:v>
      </x:c>
      <x:c r="F120" s="85" t="str">
        <x:v>特殊</x:v>
      </x:c>
      <x:c r="G120" s="85" t="str">
        <x:v>複数対象</x:v>
      </x:c>
      <x:c r="H120" s="87" t="b">
        <x:v>1</x:v>
      </x:c>
      <x:c r="I120" s="88"/>
      <x:c r="J120" s="89"/>
      <x:c r="K120" s="88"/>
      <x:c r="L120" s="90" t="n">
        <x:v>0</x:v>
      </x:c>
      <x:c r="M120" s="88"/>
      <x:c r="N120" s="91" t="n">
        <x:v>1</x:v>
      </x:c>
      <x:c r="O120" s="92" t="b">
        <x:v>1</x:v>
      </x:c>
      <x:c r="P120" s="88"/>
    </x:row>
    <x:row r="121">
      <x:c r="A121" s="56" t="str">
        <x:v>dragon-hammer</x:v>
      </x:c>
      <x:c r="B121" s="56" t="str">
        <x:v>ドラゴンハンマー</x:v>
      </x:c>
      <x:c r="C121" s="56" t="str">
        <x:v>Dragon Hammer</x:v>
      </x:c>
      <x:c r="D121" s="85" t="str">
        <x:v>ドラゴン</x:v>
      </x:c>
      <x:c r="E121" s="86" t="n">
        <x:v>90</x:v>
      </x:c>
      <x:c r="F121" s="85" t="str">
        <x:v>物理</x:v>
      </x:c>
      <x:c r="G121" s="85" t="str">
        <x:v>単体対象</x:v>
      </x:c>
      <x:c r="H121" s="87" t="b">
        <x:v>1</x:v>
      </x:c>
      <x:c r="I121" s="88"/>
      <x:c r="J121" s="89"/>
      <x:c r="K121" s="88"/>
      <x:c r="L121" s="90" t="n">
        <x:v>0</x:v>
      </x:c>
      <x:c r="M121" s="88"/>
      <x:c r="N121" s="91" t="n">
        <x:v>3</x:v>
      </x:c>
      <x:c r="O121" s="92" t="b">
        <x:v>0</x:v>
      </x:c>
      <x:c r="P121" s="88"/>
    </x:row>
    <x:row r="122">
      <x:c r="A122" s="56" t="str">
        <x:v>dragon-pulse</x:v>
      </x:c>
      <x:c r="B122" s="56" t="str">
        <x:v>りゅうのはどう</x:v>
      </x:c>
      <x:c r="C122" s="56" t="str">
        <x:v>Dragon Pulse</x:v>
      </x:c>
      <x:c r="D122" s="85" t="str">
        <x:v>ドラゴン</x:v>
      </x:c>
      <x:c r="E122" s="86" t="n">
        <x:v>85</x:v>
      </x:c>
      <x:c r="F122" s="85" t="str">
        <x:v>特殊</x:v>
      </x:c>
      <x:c r="G122" s="85" t="str">
        <x:v>単体対象</x:v>
      </x:c>
      <x:c r="H122" s="87" t="b">
        <x:v>1</x:v>
      </x:c>
      <x:c r="I122" s="88"/>
      <x:c r="J122" s="89"/>
      <x:c r="K122" s="88"/>
      <x:c r="L122" s="90" t="n">
        <x:v>0</x:v>
      </x:c>
      <x:c r="M122" s="88"/>
      <x:c r="N122" s="91" t="n">
        <x:v>175</x:v>
      </x:c>
      <x:c r="O122" s="92" t="b">
        <x:v>0</x:v>
      </x:c>
      <x:c r="P122" s="88"/>
    </x:row>
    <x:row r="123">
      <x:c r="A123" s="56" t="str">
        <x:v>dragon-rush</x:v>
      </x:c>
      <x:c r="B123" s="56" t="str">
        <x:v>ドラゴンダイブ</x:v>
      </x:c>
      <x:c r="C123" s="56" t="str">
        <x:v>Dragon Rush</x:v>
      </x:c>
      <x:c r="D123" s="85" t="str">
        <x:v>ドラゴン</x:v>
      </x:c>
      <x:c r="E123" s="86" t="n">
        <x:v>100</x:v>
      </x:c>
      <x:c r="F123" s="85" t="str">
        <x:v>物理</x:v>
      </x:c>
      <x:c r="G123" s="85" t="str">
        <x:v>単体対象</x:v>
      </x:c>
      <x:c r="H123" s="87" t="b">
        <x:v>1</x:v>
      </x:c>
      <x:c r="I123" s="88"/>
      <x:c r="J123" s="89"/>
      <x:c r="K123" s="88"/>
      <x:c r="L123" s="90" t="n">
        <x:v>0</x:v>
      </x:c>
      <x:c r="M123" s="88"/>
      <x:c r="N123" s="91" t="n">
        <x:v>55</x:v>
      </x:c>
      <x:c r="O123" s="92" t="b">
        <x:v>0</x:v>
      </x:c>
      <x:c r="P123" s="88"/>
    </x:row>
    <x:row r="124">
      <x:c r="A124" s="56" t="str">
        <x:v>dragon-tail</x:v>
      </x:c>
      <x:c r="B124" s="56" t="str">
        <x:v>ドラゴンテール</x:v>
      </x:c>
      <x:c r="C124" s="56" t="str">
        <x:v>Dragon Tail</x:v>
      </x:c>
      <x:c r="D124" s="85" t="str">
        <x:v>ドラゴン</x:v>
      </x:c>
      <x:c r="E124" s="86" t="n">
        <x:v>60</x:v>
      </x:c>
      <x:c r="F124" s="85" t="str">
        <x:v>物理</x:v>
      </x:c>
      <x:c r="G124" s="85" t="str">
        <x:v>単体対象</x:v>
      </x:c>
      <x:c r="H124" s="87" t="b">
        <x:v>1</x:v>
      </x:c>
      <x:c r="I124" s="88"/>
      <x:c r="J124" s="89"/>
      <x:c r="K124" s="88"/>
      <x:c r="L124" s="90" t="n">
        <x:v>0</x:v>
      </x:c>
      <x:c r="M124" s="88"/>
      <x:c r="N124" s="91" t="n">
        <x:v>144</x:v>
      </x:c>
      <x:c r="O124" s="92" t="b">
        <x:v>0</x:v>
      </x:c>
      <x:c r="P124" s="88"/>
    </x:row>
    <x:row r="125">
      <x:c r="A125" s="56" t="str">
        <x:v>drain-punch</x:v>
      </x:c>
      <x:c r="B125" s="56" t="str">
        <x:v>ドレインパンチ</x:v>
      </x:c>
      <x:c r="C125" s="56" t="str">
        <x:v>Drain Punch</x:v>
      </x:c>
      <x:c r="D125" s="85" t="str">
        <x:v>かくとう</x:v>
      </x:c>
      <x:c r="E125" s="86" t="n">
        <x:v>75</x:v>
      </x:c>
      <x:c r="F125" s="85" t="str">
        <x:v>物理</x:v>
      </x:c>
      <x:c r="G125" s="85" t="str">
        <x:v>単体対象</x:v>
      </x:c>
      <x:c r="H125" s="87" t="b">
        <x:v>1</x:v>
      </x:c>
      <x:c r="I125" s="88"/>
      <x:c r="J125" s="89"/>
      <x:c r="K125" s="88"/>
      <x:c r="L125" s="90" t="n">
        <x:v>0</x:v>
      </x:c>
      <x:c r="M125" s="88"/>
      <x:c r="N125" s="91" t="n">
        <x:v>185</x:v>
      </x:c>
      <x:c r="O125" s="92" t="b">
        <x:v>0</x:v>
      </x:c>
      <x:c r="P125" s="88"/>
    </x:row>
    <x:row r="126">
      <x:c r="A126" s="56" t="str">
        <x:v>draining-kiss</x:v>
      </x:c>
      <x:c r="B126" s="56" t="str">
        <x:v>ドレインキッス</x:v>
      </x:c>
      <x:c r="C126" s="56" t="str">
        <x:v>Draining Kiss</x:v>
      </x:c>
      <x:c r="D126" s="85" t="str">
        <x:v>フェアリー</x:v>
      </x:c>
      <x:c r="E126" s="86" t="n">
        <x:v>50</x:v>
      </x:c>
      <x:c r="F126" s="85" t="str">
        <x:v>特殊</x:v>
      </x:c>
      <x:c r="G126" s="85" t="str">
        <x:v>単体対象</x:v>
      </x:c>
      <x:c r="H126" s="87" t="b">
        <x:v>1</x:v>
      </x:c>
      <x:c r="I126" s="88"/>
      <x:c r="J126" s="89"/>
      <x:c r="K126" s="88"/>
      <x:c r="L126" s="90" t="n">
        <x:v>0</x:v>
      </x:c>
      <x:c r="M126" s="88"/>
      <x:c r="N126" s="91" t="n">
        <x:v>122</x:v>
      </x:c>
      <x:c r="O126" s="92" t="b">
        <x:v>0</x:v>
      </x:c>
      <x:c r="P126" s="88"/>
    </x:row>
    <x:row r="127">
      <x:c r="A127" s="56" t="str">
        <x:v>dream-eater</x:v>
      </x:c>
      <x:c r="B127" s="56" t="str">
        <x:v>ゆめくい</x:v>
      </x:c>
      <x:c r="C127" s="56" t="str">
        <x:v>Dream Eater</x:v>
      </x:c>
      <x:c r="D127" s="85" t="str">
        <x:v>エスパー</x:v>
      </x:c>
      <x:c r="E127" s="86" t="n">
        <x:v>100</x:v>
      </x:c>
      <x:c r="F127" s="85" t="str">
        <x:v>特殊</x:v>
      </x:c>
      <x:c r="G127" s="85" t="str">
        <x:v>単体対象</x:v>
      </x:c>
      <x:c r="H127" s="87" t="b">
        <x:v>1</x:v>
      </x:c>
      <x:c r="I127" s="88"/>
      <x:c r="J127" s="89"/>
      <x:c r="K127" s="88"/>
      <x:c r="L127" s="90" t="n">
        <x:v>0</x:v>
      </x:c>
      <x:c r="M127" s="88"/>
      <x:c r="N127" s="91" t="n">
        <x:v>226</x:v>
      </x:c>
      <x:c r="O127" s="92" t="b">
        <x:v>0</x:v>
      </x:c>
      <x:c r="P127" s="88"/>
    </x:row>
    <x:row r="128">
      <x:c r="A128" s="56" t="str">
        <x:v>drill-peck</x:v>
      </x:c>
      <x:c r="B128" s="56" t="str">
        <x:v>ドリルくちばし</x:v>
      </x:c>
      <x:c r="C128" s="56" t="str">
        <x:v>Drill Peck</x:v>
      </x:c>
      <x:c r="D128" s="85" t="str">
        <x:v>ひこう</x:v>
      </x:c>
      <x:c r="E128" s="86" t="n">
        <x:v>80</x:v>
      </x:c>
      <x:c r="F128" s="85" t="str">
        <x:v>物理</x:v>
      </x:c>
      <x:c r="G128" s="85" t="str">
        <x:v>単体対象</x:v>
      </x:c>
      <x:c r="H128" s="87" t="b">
        <x:v>1</x:v>
      </x:c>
      <x:c r="I128" s="88"/>
      <x:c r="J128" s="89"/>
      <x:c r="K128" s="88"/>
      <x:c r="L128" s="90" t="n">
        <x:v>0</x:v>
      </x:c>
      <x:c r="M128" s="88"/>
      <x:c r="N128" s="91" t="n">
        <x:v>25</x:v>
      </x:c>
      <x:c r="O128" s="92" t="b">
        <x:v>0</x:v>
      </x:c>
      <x:c r="P128" s="88"/>
    </x:row>
    <x:row r="129">
      <x:c r="A129" s="56" t="str">
        <x:v>drill-run</x:v>
      </x:c>
      <x:c r="B129" s="56" t="str">
        <x:v>ドリルライナー</x:v>
      </x:c>
      <x:c r="C129" s="56" t="str">
        <x:v>Drill Run</x:v>
      </x:c>
      <x:c r="D129" s="85" t="str">
        <x:v>じめん</x:v>
      </x:c>
      <x:c r="E129" s="86" t="n">
        <x:v>80</x:v>
      </x:c>
      <x:c r="F129" s="85" t="str">
        <x:v>物理</x:v>
      </x:c>
      <x:c r="G129" s="85" t="str">
        <x:v>単体対象</x:v>
      </x:c>
      <x:c r="H129" s="87" t="b">
        <x:v>1</x:v>
      </x:c>
      <x:c r="I129" s="88"/>
      <x:c r="J129" s="89"/>
      <x:c r="K129" s="88"/>
      <x:c r="L129" s="90" t="n">
        <x:v>0</x:v>
      </x:c>
      <x:c r="M129" s="88"/>
      <x:c r="N129" s="91" t="n">
        <x:v>57</x:v>
      </x:c>
      <x:c r="O129" s="92" t="b">
        <x:v>0</x:v>
      </x:c>
      <x:c r="P129" s="88"/>
    </x:row>
    <x:row r="130">
      <x:c r="A130" s="56" t="str">
        <x:v>drum-beating</x:v>
      </x:c>
      <x:c r="B130" s="56" t="str">
        <x:v>ドラムアタック</x:v>
      </x:c>
      <x:c r="C130" s="56" t="str">
        <x:v>Drum Beating</x:v>
      </x:c>
      <x:c r="D130" s="85" t="str">
        <x:v>くさ</x:v>
      </x:c>
      <x:c r="E130" s="86" t="n">
        <x:v>80</x:v>
      </x:c>
      <x:c r="F130" s="85" t="str">
        <x:v>物理</x:v>
      </x:c>
      <x:c r="G130" s="85" t="str">
        <x:v>単体対象</x:v>
      </x:c>
      <x:c r="H130" s="87" t="b">
        <x:v>1</x:v>
      </x:c>
      <x:c r="I130" s="88"/>
      <x:c r="J130" s="89"/>
      <x:c r="K130" s="88"/>
      <x:c r="L130" s="90" t="n">
        <x:v>0</x:v>
      </x:c>
      <x:c r="M130" s="88"/>
      <x:c r="N130" s="91" t="n">
        <x:v>1</x:v>
      </x:c>
      <x:c r="O130" s="92" t="b">
        <x:v>0</x:v>
      </x:c>
      <x:c r="P130" s="88"/>
    </x:row>
    <x:row r="131">
      <x:c r="A131" s="56" t="str">
        <x:v>dual-chop</x:v>
      </x:c>
      <x:c r="B131" s="56" t="str">
        <x:v>ダブルチョップ</x:v>
      </x:c>
      <x:c r="C131" s="56" t="str">
        <x:v>Dual Chop</x:v>
      </x:c>
      <x:c r="D131" s="85" t="str">
        <x:v>ドラゴン</x:v>
      </x:c>
      <x:c r="E131" s="86" t="n">
        <x:v>40</x:v>
      </x:c>
      <x:c r="F131" s="85" t="str">
        <x:v>物理</x:v>
      </x:c>
      <x:c r="G131" s="85" t="str">
        <x:v>単体対象</x:v>
      </x:c>
      <x:c r="H131" s="87" t="b">
        <x:v>1</x:v>
      </x:c>
      <x:c r="I131" s="88"/>
      <x:c r="J131" s="89"/>
      <x:c r="K131" s="88"/>
      <x:c r="L131" s="90" t="n">
        <x:v>0</x:v>
      </x:c>
      <x:c r="M131" s="88"/>
      <x:c r="N131" s="91" t="n">
        <x:v>74</x:v>
      </x:c>
      <x:c r="O131" s="92" t="b">
        <x:v>0</x:v>
      </x:c>
      <x:c r="P131" s="88"/>
    </x:row>
    <x:row r="132">
      <x:c r="A132" s="56" t="str">
        <x:v>dual-wingbeat</x:v>
      </x:c>
      <x:c r="B132" s="56" t="str">
        <x:v>ダブルウイング</x:v>
      </x:c>
      <x:c r="C132" s="56" t="str">
        <x:v>Dual Wingbeat</x:v>
      </x:c>
      <x:c r="D132" s="85" t="str">
        <x:v>ひこう</x:v>
      </x:c>
      <x:c r="E132" s="86" t="n">
        <x:v>40</x:v>
      </x:c>
      <x:c r="F132" s="85" t="str">
        <x:v>物理</x:v>
      </x:c>
      <x:c r="G132" s="85" t="str">
        <x:v>単体対象</x:v>
      </x:c>
      <x:c r="H132" s="87" t="b">
        <x:v>1</x:v>
      </x:c>
      <x:c r="I132" s="88"/>
      <x:c r="J132" s="89"/>
      <x:c r="K132" s="88"/>
      <x:c r="L132" s="90" t="n">
        <x:v>0</x:v>
      </x:c>
      <x:c r="M132" s="88"/>
      <x:c r="N132" s="91" t="n">
        <x:v>143</x:v>
      </x:c>
      <x:c r="O132" s="92" t="b">
        <x:v>0</x:v>
      </x:c>
      <x:c r="P132" s="88"/>
    </x:row>
    <x:row r="133">
      <x:c r="A133" s="56" t="str">
        <x:v>dynamax-cannon</x:v>
      </x:c>
      <x:c r="B133" s="56" t="str">
        <x:v>ダイマックスほう</x:v>
      </x:c>
      <x:c r="C133" s="56" t="str">
        <x:v>Dynamax Cannon</x:v>
      </x:c>
      <x:c r="D133" s="85" t="str">
        <x:v>ドラゴン</x:v>
      </x:c>
      <x:c r="E133" s="86" t="n">
        <x:v>100</x:v>
      </x:c>
      <x:c r="F133" s="85" t="str">
        <x:v>特殊</x:v>
      </x:c>
      <x:c r="G133" s="85" t="str">
        <x:v>単体対象</x:v>
      </x:c>
      <x:c r="H133" s="87" t="b">
        <x:v>1</x:v>
      </x:c>
      <x:c r="I133" s="88"/>
      <x:c r="J133" s="89"/>
      <x:c r="K133" s="88"/>
      <x:c r="L133" s="90" t="n">
        <x:v>0</x:v>
      </x:c>
      <x:c r="M133" s="88"/>
      <x:c r="N133" s="91" t="n">
        <x:v>2</x:v>
      </x:c>
      <x:c r="O133" s="92" t="b">
        <x:v>0</x:v>
      </x:c>
      <x:c r="P133" s="88"/>
    </x:row>
    <x:row r="134">
      <x:c r="A134" s="56" t="str">
        <x:v>dynamic-punch</x:v>
      </x:c>
      <x:c r="B134" s="56" t="str">
        <x:v>ばくれつパンチ</x:v>
      </x:c>
      <x:c r="C134" s="56" t="str">
        <x:v>Dynamic Punch</x:v>
      </x:c>
      <x:c r="D134" s="85" t="str">
        <x:v>かくとう</x:v>
      </x:c>
      <x:c r="E134" s="86" t="n">
        <x:v>100</x:v>
      </x:c>
      <x:c r="F134" s="85" t="str">
        <x:v>物理</x:v>
      </x:c>
      <x:c r="G134" s="85" t="str">
        <x:v>単体対象</x:v>
      </x:c>
      <x:c r="H134" s="87" t="b">
        <x:v>1</x:v>
      </x:c>
      <x:c r="I134" s="88"/>
      <x:c r="J134" s="89"/>
      <x:c r="K134" s="88"/>
      <x:c r="L134" s="90" t="n">
        <x:v>0</x:v>
      </x:c>
      <x:c r="M134" s="88"/>
      <x:c r="N134" s="91" t="n">
        <x:v>149</x:v>
      </x:c>
      <x:c r="O134" s="92" t="b">
        <x:v>0</x:v>
      </x:c>
      <x:c r="P134" s="88"/>
    </x:row>
    <x:row r="135">
      <x:c r="A135" s="56" t="str">
        <x:v>earth-power</x:v>
      </x:c>
      <x:c r="B135" s="56" t="str">
        <x:v>だいちのちから</x:v>
      </x:c>
      <x:c r="C135" s="56" t="str">
        <x:v>Earth Power</x:v>
      </x:c>
      <x:c r="D135" s="85" t="str">
        <x:v>じめん</x:v>
      </x:c>
      <x:c r="E135" s="86" t="n">
        <x:v>90</x:v>
      </x:c>
      <x:c r="F135" s="85" t="str">
        <x:v>特殊</x:v>
      </x:c>
      <x:c r="G135" s="85" t="str">
        <x:v>単体対象</x:v>
      </x:c>
      <x:c r="H135" s="87" t="b">
        <x:v>1</x:v>
      </x:c>
      <x:c r="I135" s="88"/>
      <x:c r="J135" s="89"/>
      <x:c r="K135" s="88"/>
      <x:c r="L135" s="90" t="n">
        <x:v>0</x:v>
      </x:c>
      <x:c r="M135" s="88"/>
      <x:c r="N135" s="91" t="n">
        <x:v>266</x:v>
      </x:c>
      <x:c r="O135" s="92" t="b">
        <x:v>0</x:v>
      </x:c>
      <x:c r="P135" s="88"/>
    </x:row>
    <x:row r="136">
      <x:c r="A136" s="56" t="str">
        <x:v>earthquake</x:v>
      </x:c>
      <x:c r="B136" s="56" t="str">
        <x:v>じしん</x:v>
      </x:c>
      <x:c r="C136" s="56" t="str">
        <x:v>Earthquake</x:v>
      </x:c>
      <x:c r="D136" s="85" t="str">
        <x:v>じめん</x:v>
      </x:c>
      <x:c r="E136" s="86" t="n">
        <x:v>100</x:v>
      </x:c>
      <x:c r="F136" s="85" t="str">
        <x:v>物理</x:v>
      </x:c>
      <x:c r="G136" s="85" t="str">
        <x:v>複数対象</x:v>
      </x:c>
      <x:c r="H136" s="87" t="b">
        <x:v>1</x:v>
      </x:c>
      <x:c r="I136" s="88"/>
      <x:c r="J136" s="89"/>
      <x:c r="K136" s="88"/>
      <x:c r="L136" s="90" t="n">
        <x:v>0</x:v>
      </x:c>
      <x:c r="M136" s="88"/>
      <x:c r="N136" s="91" t="n">
        <x:v>393</x:v>
      </x:c>
      <x:c r="O136" s="92" t="b">
        <x:v>1</x:v>
      </x:c>
      <x:c r="P136" s="88"/>
    </x:row>
    <x:row r="137">
      <x:c r="A137" s="56" t="str">
        <x:v>echoed-voice</x:v>
      </x:c>
      <x:c r="B137" s="56" t="str">
        <x:v>エコーボイス</x:v>
      </x:c>
      <x:c r="C137" s="56" t="str">
        <x:v>Echoed Voice</x:v>
      </x:c>
      <x:c r="D137" s="85" t="str">
        <x:v>ノーマル</x:v>
      </x:c>
      <x:c r="E137" s="86" t="n">
        <x:v>40</x:v>
      </x:c>
      <x:c r="F137" s="85" t="str">
        <x:v>特殊</x:v>
      </x:c>
      <x:c r="G137" s="85" t="str">
        <x:v>単体対象</x:v>
      </x:c>
      <x:c r="H137" s="87" t="b">
        <x:v>1</x:v>
      </x:c>
      <x:c r="I137" s="88"/>
      <x:c r="J137" s="89"/>
      <x:c r="K137" s="88"/>
      <x:c r="L137" s="90" t="n">
        <x:v>0</x:v>
      </x:c>
      <x:c r="M137" s="88"/>
      <x:c r="N137" s="91" t="n">
        <x:v>270</x:v>
      </x:c>
      <x:c r="O137" s="92" t="b">
        <x:v>0</x:v>
      </x:c>
      <x:c r="P137" s="88"/>
    </x:row>
    <x:row r="138">
      <x:c r="A138" s="56" t="str">
        <x:v>eerie-spell</x:v>
      </x:c>
      <x:c r="B138" s="56" t="str">
        <x:v>ぶきみなじゅもん</x:v>
      </x:c>
      <x:c r="C138" s="56" t="str">
        <x:v>Eerie Spell</x:v>
      </x:c>
      <x:c r="D138" s="85" t="str">
        <x:v>エスパー</x:v>
      </x:c>
      <x:c r="E138" s="86" t="n">
        <x:v>80</x:v>
      </x:c>
      <x:c r="F138" s="85" t="str">
        <x:v>特殊</x:v>
      </x:c>
      <x:c r="G138" s="85" t="str">
        <x:v>単体対象</x:v>
      </x:c>
      <x:c r="H138" s="87" t="b">
        <x:v>1</x:v>
      </x:c>
      <x:c r="I138" s="88"/>
      <x:c r="J138" s="89"/>
      <x:c r="K138" s="88"/>
      <x:c r="L138" s="90" t="n">
        <x:v>0</x:v>
      </x:c>
      <x:c r="M138" s="88"/>
      <x:c r="N138" s="91" t="n">
        <x:v>1</x:v>
      </x:c>
      <x:c r="O138" s="92" t="b">
        <x:v>0</x:v>
      </x:c>
      <x:c r="P138" s="88"/>
    </x:row>
    <x:row r="139">
      <x:c r="A139" s="56" t="str">
        <x:v>egg-bomb</x:v>
      </x:c>
      <x:c r="B139" s="56" t="str">
        <x:v>タマゴばくだん</x:v>
      </x:c>
      <x:c r="C139" s="56" t="str">
        <x:v>Egg Bomb</x:v>
      </x:c>
      <x:c r="D139" s="85" t="str">
        <x:v>ノーマル</x:v>
      </x:c>
      <x:c r="E139" s="86" t="n">
        <x:v>100</x:v>
      </x:c>
      <x:c r="F139" s="85" t="str">
        <x:v>物理</x:v>
      </x:c>
      <x:c r="G139" s="85" t="str">
        <x:v>単体対象</x:v>
      </x:c>
      <x:c r="H139" s="87" t="b">
        <x:v>1</x:v>
      </x:c>
      <x:c r="I139" s="88"/>
      <x:c r="J139" s="89"/>
      <x:c r="K139" s="88"/>
      <x:c r="L139" s="90" t="n">
        <x:v>0</x:v>
      </x:c>
      <x:c r="M139" s="88"/>
      <x:c r="N139" s="91" t="n">
        <x:v>6</x:v>
      </x:c>
      <x:c r="O139" s="92" t="b">
        <x:v>0</x:v>
      </x:c>
      <x:c r="P139" s="88"/>
    </x:row>
    <x:row r="140">
      <x:c r="A140" s="56" t="str">
        <x:v>electro-drift</x:v>
      </x:c>
      <x:c r="B140" s="56" t="str">
        <x:v>イナズマドライブ</x:v>
      </x:c>
      <x:c r="C140" s="56" t="str">
        <x:v>Electro Drift</x:v>
      </x:c>
      <x:c r="D140" s="85" t="str">
        <x:v>でんき</x:v>
      </x:c>
      <x:c r="E140" s="86" t="n">
        <x:v>100</x:v>
      </x:c>
      <x:c r="F140" s="85" t="str">
        <x:v>特殊</x:v>
      </x:c>
      <x:c r="G140" s="85" t="str">
        <x:v>単体対象</x:v>
      </x:c>
      <x:c r="H140" s="87" t="b">
        <x:v>1</x:v>
      </x:c>
      <x:c r="I140" s="88"/>
      <x:c r="J140" s="89"/>
      <x:c r="K140" s="88"/>
      <x:c r="L140" s="90" t="n">
        <x:v>0</x:v>
      </x:c>
      <x:c r="M140" s="88"/>
      <x:c r="N140" s="91" t="n">
        <x:v>5</x:v>
      </x:c>
      <x:c r="O140" s="92" t="b">
        <x:v>0</x:v>
      </x:c>
      <x:c r="P140" s="88"/>
    </x:row>
    <x:row r="141">
      <x:c r="A141" s="56" t="str">
        <x:v>electro-shot</x:v>
      </x:c>
      <x:c r="B141" s="56" t="str">
        <x:v>エレクトロビーム</x:v>
      </x:c>
      <x:c r="C141" s="56" t="str">
        <x:v>Electro Shot</x:v>
      </x:c>
      <x:c r="D141" s="85" t="str">
        <x:v>でんき</x:v>
      </x:c>
      <x:c r="E141" s="86" t="n">
        <x:v>130</x:v>
      </x:c>
      <x:c r="F141" s="85" t="str">
        <x:v>特殊</x:v>
      </x:c>
      <x:c r="G141" s="85" t="str">
        <x:v>単体対象</x:v>
      </x:c>
      <x:c r="H141" s="87" t="b">
        <x:v>1</x:v>
      </x:c>
      <x:c r="I141" s="88"/>
      <x:c r="J141" s="89"/>
      <x:c r="K141" s="88"/>
      <x:c r="L141" s="90" t="n">
        <x:v>0</x:v>
      </x:c>
      <x:c r="M141" s="88"/>
      <x:c r="N141" s="91" t="n">
        <x:v>1</x:v>
      </x:c>
      <x:c r="O141" s="92" t="b">
        <x:v>0</x:v>
      </x:c>
      <x:c r="P141" s="88"/>
    </x:row>
    <x:row r="142">
      <x:c r="A142" s="56" t="str">
        <x:v>electroweb</x:v>
      </x:c>
      <x:c r="B142" s="56" t="str">
        <x:v>エレキネット</x:v>
      </x:c>
      <x:c r="C142" s="56" t="str">
        <x:v>Electroweb</x:v>
      </x:c>
      <x:c r="D142" s="85" t="str">
        <x:v>でんき</x:v>
      </x:c>
      <x:c r="E142" s="86" t="n">
        <x:v>55</x:v>
      </x:c>
      <x:c r="F142" s="85" t="str">
        <x:v>特殊</x:v>
      </x:c>
      <x:c r="G142" s="85" t="str">
        <x:v>複数対象</x:v>
      </x:c>
      <x:c r="H142" s="87" t="b">
        <x:v>1</x:v>
      </x:c>
      <x:c r="I142" s="88"/>
      <x:c r="J142" s="89"/>
      <x:c r="K142" s="88"/>
      <x:c r="L142" s="90" t="n">
        <x:v>0</x:v>
      </x:c>
      <x:c r="M142" s="88"/>
      <x:c r="N142" s="91" t="n">
        <x:v>123</x:v>
      </x:c>
      <x:c r="O142" s="92" t="b">
        <x:v>1</x:v>
      </x:c>
      <x:c r="P142" s="88"/>
    </x:row>
    <x:row r="143">
      <x:c r="A143" s="56" t="str">
        <x:v>ember</x:v>
      </x:c>
      <x:c r="B143" s="56" t="str">
        <x:v>ひのこ</x:v>
      </x:c>
      <x:c r="C143" s="56" t="str">
        <x:v>Ember</x:v>
      </x:c>
      <x:c r="D143" s="85" t="str">
        <x:v>ほのお</x:v>
      </x:c>
      <x:c r="E143" s="86" t="n">
        <x:v>40</x:v>
      </x:c>
      <x:c r="F143" s="85" t="str">
        <x:v>特殊</x:v>
      </x:c>
      <x:c r="G143" s="85" t="str">
        <x:v>単体対象</x:v>
      </x:c>
      <x:c r="H143" s="87" t="b">
        <x:v>1</x:v>
      </x:c>
      <x:c r="I143" s="88"/>
      <x:c r="J143" s="89"/>
      <x:c r="K143" s="88"/>
      <x:c r="L143" s="90" t="n">
        <x:v>0</x:v>
      </x:c>
      <x:c r="M143" s="88"/>
      <x:c r="N143" s="91" t="n">
        <x:v>89</x:v>
      </x:c>
      <x:c r="O143" s="92" t="b">
        <x:v>0</x:v>
      </x:c>
      <x:c r="P143" s="88"/>
    </x:row>
    <x:row r="144">
      <x:c r="A144" s="56" t="str">
        <x:v>energy-ball</x:v>
      </x:c>
      <x:c r="B144" s="56" t="str">
        <x:v>エナジーボール</x:v>
      </x:c>
      <x:c r="C144" s="56" t="str">
        <x:v>Energy Ball</x:v>
      </x:c>
      <x:c r="D144" s="85" t="str">
        <x:v>くさ</x:v>
      </x:c>
      <x:c r="E144" s="86" t="n">
        <x:v>90</x:v>
      </x:c>
      <x:c r="F144" s="85" t="str">
        <x:v>特殊</x:v>
      </x:c>
      <x:c r="G144" s="85" t="str">
        <x:v>単体対象</x:v>
      </x:c>
      <x:c r="H144" s="87" t="b">
        <x:v>1</x:v>
      </x:c>
      <x:c r="I144" s="88"/>
      <x:c r="J144" s="89"/>
      <x:c r="K144" s="88"/>
      <x:c r="L144" s="90" t="n">
        <x:v>0</x:v>
      </x:c>
      <x:c r="M144" s="88"/>
      <x:c r="N144" s="91" t="n">
        <x:v>310</x:v>
      </x:c>
      <x:c r="O144" s="92" t="b">
        <x:v>0</x:v>
      </x:c>
      <x:c r="P144" s="88"/>
    </x:row>
    <x:row r="145">
      <x:c r="A145" s="56" t="str">
        <x:v>eruption</x:v>
      </x:c>
      <x:c r="B145" s="56" t="str">
        <x:v>ふんか</x:v>
      </x:c>
      <x:c r="C145" s="56" t="str">
        <x:v>Eruption</x:v>
      </x:c>
      <x:c r="D145" s="85" t="str">
        <x:v>ほのお</x:v>
      </x:c>
      <x:c r="E145" s="86" t="n">
        <x:v>150</x:v>
      </x:c>
      <x:c r="F145" s="85" t="str">
        <x:v>特殊</x:v>
      </x:c>
      <x:c r="G145" s="85" t="str">
        <x:v>複数対象</x:v>
      </x:c>
      <x:c r="H145" s="87" t="b">
        <x:v>1</x:v>
      </x:c>
      <x:c r="I145" s="88"/>
      <x:c r="J145" s="89"/>
      <x:c r="K145" s="88"/>
      <x:c r="L145" s="90" t="n">
        <x:v>0</x:v>
      </x:c>
      <x:c r="M145" s="88"/>
      <x:c r="N145" s="91" t="n">
        <x:v>10</x:v>
      </x:c>
      <x:c r="O145" s="92" t="b">
        <x:v>1</x:v>
      </x:c>
      <x:c r="P145" s="88"/>
    </x:row>
    <x:row r="146">
      <x:c r="A146" s="56" t="str">
        <x:v>esper-wing</x:v>
      </x:c>
      <x:c r="B146" s="56" t="str">
        <x:v>オーラウイング</x:v>
      </x:c>
      <x:c r="C146" s="56" t="str">
        <x:v>Esper Wing</x:v>
      </x:c>
      <x:c r="D146" s="85" t="str">
        <x:v>エスパー</x:v>
      </x:c>
      <x:c r="E146" s="86" t="n">
        <x:v>80</x:v>
      </x:c>
      <x:c r="F146" s="85" t="str">
        <x:v>特殊</x:v>
      </x:c>
      <x:c r="G146" s="85" t="str">
        <x:v>単体対象</x:v>
      </x:c>
      <x:c r="H146" s="87" t="b">
        <x:v>1</x:v>
      </x:c>
      <x:c r="I146" s="88"/>
      <x:c r="J146" s="89"/>
      <x:c r="K146" s="88"/>
      <x:c r="L146" s="90" t="n">
        <x:v>0</x:v>
      </x:c>
      <x:c r="M146" s="88"/>
      <x:c r="N146" s="91" t="n">
        <x:v>1</x:v>
      </x:c>
      <x:c r="O146" s="92" t="b">
        <x:v>0</x:v>
      </x:c>
      <x:c r="P146" s="88"/>
    </x:row>
    <x:row r="147">
      <x:c r="A147" s="56" t="str">
        <x:v>eternabeam</x:v>
      </x:c>
      <x:c r="B147" s="56" t="str">
        <x:v>ムゲンダイビーム</x:v>
      </x:c>
      <x:c r="C147" s="56" t="str">
        <x:v>Eternabeam</x:v>
      </x:c>
      <x:c r="D147" s="85" t="str">
        <x:v>ドラゴン</x:v>
      </x:c>
      <x:c r="E147" s="86" t="n">
        <x:v>160</x:v>
      </x:c>
      <x:c r="F147" s="85" t="str">
        <x:v>特殊</x:v>
      </x:c>
      <x:c r="G147" s="85" t="str">
        <x:v>単体対象</x:v>
      </x:c>
      <x:c r="H147" s="87" t="b">
        <x:v>1</x:v>
      </x:c>
      <x:c r="I147" s="88"/>
      <x:c r="J147" s="89"/>
      <x:c r="K147" s="88"/>
      <x:c r="L147" s="90" t="n">
        <x:v>0</x:v>
      </x:c>
      <x:c r="M147" s="88"/>
      <x:c r="N147" s="91" t="n">
        <x:v>2</x:v>
      </x:c>
      <x:c r="O147" s="92" t="b">
        <x:v>0</x:v>
      </x:c>
      <x:c r="P147" s="88"/>
    </x:row>
    <x:row r="148">
      <x:c r="A148" s="56" t="str">
        <x:v>expanding-force</x:v>
      </x:c>
      <x:c r="B148" s="56" t="str">
        <x:v>ワイドフォース</x:v>
      </x:c>
      <x:c r="C148" s="56" t="str">
        <x:v>Expanding Force</x:v>
      </x:c>
      <x:c r="D148" s="85" t="str">
        <x:v>エスパー</x:v>
      </x:c>
      <x:c r="E148" s="86" t="n">
        <x:v>80</x:v>
      </x:c>
      <x:c r="F148" s="85" t="str">
        <x:v>特殊</x:v>
      </x:c>
      <x:c r="G148" s="85" t="str">
        <x:v>単体対象</x:v>
      </x:c>
      <x:c r="H148" s="87" t="b">
        <x:v>1</x:v>
      </x:c>
      <x:c r="I148" s="88"/>
      <x:c r="J148" s="89"/>
      <x:c r="K148" s="88"/>
      <x:c r="L148" s="90" t="n">
        <x:v>0</x:v>
      </x:c>
      <x:c r="M148" s="88"/>
      <x:c r="N148" s="91" t="n">
        <x:v>114</x:v>
      </x:c>
      <x:c r="O148" s="92" t="b">
        <x:v>0</x:v>
      </x:c>
      <x:c r="P148" s="88"/>
    </x:row>
    <x:row r="149">
      <x:c r="A149" s="56" t="str">
        <x:v>explosion</x:v>
      </x:c>
      <x:c r="B149" s="56" t="str">
        <x:v>だいばくはつ</x:v>
      </x:c>
      <x:c r="C149" s="56" t="str">
        <x:v>Explosion</x:v>
      </x:c>
      <x:c r="D149" s="85" t="str">
        <x:v>ノーマル</x:v>
      </x:c>
      <x:c r="E149" s="86" t="n">
        <x:v>250</x:v>
      </x:c>
      <x:c r="F149" s="85" t="str">
        <x:v>物理</x:v>
      </x:c>
      <x:c r="G149" s="85" t="str">
        <x:v>複数対象</x:v>
      </x:c>
      <x:c r="H149" s="87" t="b">
        <x:v>1</x:v>
      </x:c>
      <x:c r="I149" s="88"/>
      <x:c r="J149" s="89"/>
      <x:c r="K149" s="88"/>
      <x:c r="L149" s="90" t="n">
        <x:v>0</x:v>
      </x:c>
      <x:c r="M149" s="88"/>
      <x:c r="N149" s="91" t="n">
        <x:v>126</x:v>
      </x:c>
      <x:c r="O149" s="92" t="b">
        <x:v>1</x:v>
      </x:c>
      <x:c r="P149" s="88"/>
    </x:row>
    <x:row r="150">
      <x:c r="A150" s="56" t="str">
        <x:v>extrasensory</x:v>
      </x:c>
      <x:c r="B150" s="56" t="str">
        <x:v>じんつうりき</x:v>
      </x:c>
      <x:c r="C150" s="56" t="str">
        <x:v>Extrasensory</x:v>
      </x:c>
      <x:c r="D150" s="85" t="str">
        <x:v>エスパー</x:v>
      </x:c>
      <x:c r="E150" s="86" t="n">
        <x:v>80</x:v>
      </x:c>
      <x:c r="F150" s="85" t="str">
        <x:v>特殊</x:v>
      </x:c>
      <x:c r="G150" s="85" t="str">
        <x:v>単体対象</x:v>
      </x:c>
      <x:c r="H150" s="87" t="b">
        <x:v>1</x:v>
      </x:c>
      <x:c r="I150" s="88"/>
      <x:c r="J150" s="89"/>
      <x:c r="K150" s="88"/>
      <x:c r="L150" s="90" t="n">
        <x:v>0</x:v>
      </x:c>
      <x:c r="M150" s="88"/>
      <x:c r="N150" s="91" t="n">
        <x:v>75</x:v>
      </x:c>
      <x:c r="O150" s="92" t="b">
        <x:v>0</x:v>
      </x:c>
      <x:c r="P150" s="88"/>
    </x:row>
    <x:row r="151">
      <x:c r="A151" s="56" t="str">
        <x:v>extreme-speed</x:v>
      </x:c>
      <x:c r="B151" s="56" t="str">
        <x:v>しんそく</x:v>
      </x:c>
      <x:c r="C151" s="56" t="str">
        <x:v>Extreme Speed</x:v>
      </x:c>
      <x:c r="D151" s="85" t="str">
        <x:v>ノーマル</x:v>
      </x:c>
      <x:c r="E151" s="86" t="n">
        <x:v>80</x:v>
      </x:c>
      <x:c r="F151" s="85" t="str">
        <x:v>物理</x:v>
      </x:c>
      <x:c r="G151" s="85" t="str">
        <x:v>単体対象</x:v>
      </x:c>
      <x:c r="H151" s="87" t="b">
        <x:v>1</x:v>
      </x:c>
      <x:c r="I151" s="88"/>
      <x:c r="J151" s="89"/>
      <x:c r="K151" s="88"/>
      <x:c r="L151" s="90" t="n">
        <x:v>1</x:v>
      </x:c>
      <x:c r="M151" s="88"/>
      <x:c r="N151" s="91" t="n">
        <x:v>22</x:v>
      </x:c>
      <x:c r="O151" s="92" t="b">
        <x:v>0</x:v>
      </x:c>
      <x:c r="P151" s="88"/>
    </x:row>
    <x:row r="152">
      <x:c r="A152" s="56" t="str">
        <x:v>facade</x:v>
      </x:c>
      <x:c r="B152" s="56" t="str">
        <x:v>からげんき</x:v>
      </x:c>
      <x:c r="C152" s="56" t="str">
        <x:v>Facade</x:v>
      </x:c>
      <x:c r="D152" s="85" t="str">
        <x:v>ノーマル</x:v>
      </x:c>
      <x:c r="E152" s="86" t="n">
        <x:v>70</x:v>
      </x:c>
      <x:c r="F152" s="85" t="str">
        <x:v>物理</x:v>
      </x:c>
      <x:c r="G152" s="85" t="str">
        <x:v>単体対象</x:v>
      </x:c>
      <x:c r="H152" s="87" t="b">
        <x:v>1</x:v>
      </x:c>
      <x:c r="I152" s="88"/>
      <x:c r="J152" s="89"/>
      <x:c r="K152" s="88"/>
      <x:c r="L152" s="90" t="n">
        <x:v>0</x:v>
      </x:c>
      <x:c r="M152" s="88"/>
      <x:c r="N152" s="91" t="n">
        <x:v>1253</x:v>
      </x:c>
      <x:c r="O152" s="92" t="b">
        <x:v>0</x:v>
      </x:c>
      <x:c r="P152" s="88"/>
    </x:row>
    <x:row r="153">
      <x:c r="A153" s="56" t="str">
        <x:v>fairy-wind</x:v>
      </x:c>
      <x:c r="B153" s="56" t="str">
        <x:v>ようせいのかぜ</x:v>
      </x:c>
      <x:c r="C153" s="56" t="str">
        <x:v>Fairy Wind</x:v>
      </x:c>
      <x:c r="D153" s="85" t="str">
        <x:v>フェアリー</x:v>
      </x:c>
      <x:c r="E153" s="86" t="n">
        <x:v>40</x:v>
      </x:c>
      <x:c r="F153" s="85" t="str">
        <x:v>特殊</x:v>
      </x:c>
      <x:c r="G153" s="85" t="str">
        <x:v>単体対象</x:v>
      </x:c>
      <x:c r="H153" s="87" t="b">
        <x:v>1</x:v>
      </x:c>
      <x:c r="I153" s="88"/>
      <x:c r="J153" s="89"/>
      <x:c r="K153" s="88"/>
      <x:c r="L153" s="90" t="n">
        <x:v>0</x:v>
      </x:c>
      <x:c r="M153" s="88"/>
      <x:c r="N153" s="91" t="n">
        <x:v>38</x:v>
      </x:c>
      <x:c r="O153" s="92" t="b">
        <x:v>0</x:v>
      </x:c>
      <x:c r="P153" s="88"/>
    </x:row>
    <x:row r="154">
      <x:c r="A154" s="56" t="str">
        <x:v>fake-out</x:v>
      </x:c>
      <x:c r="B154" s="56" t="str">
        <x:v>ねこだまし</x:v>
      </x:c>
      <x:c r="C154" s="56" t="str">
        <x:v>Fake Out</x:v>
      </x:c>
      <x:c r="D154" s="85" t="str">
        <x:v>ノーマル</x:v>
      </x:c>
      <x:c r="E154" s="86" t="n">
        <x:v>40</x:v>
      </x:c>
      <x:c r="F154" s="85" t="str">
        <x:v>物理</x:v>
      </x:c>
      <x:c r="G154" s="85" t="str">
        <x:v>単体対象</x:v>
      </x:c>
      <x:c r="H154" s="87" t="b">
        <x:v>1</x:v>
      </x:c>
      <x:c r="I154" s="88"/>
      <x:c r="J154" s="89"/>
      <x:c r="K154" s="88"/>
      <x:c r="L154" s="90" t="n">
        <x:v>1</x:v>
      </x:c>
      <x:c r="M154" s="88"/>
      <x:c r="N154" s="91" t="n">
        <x:v>99</x:v>
      </x:c>
      <x:c r="O154" s="92" t="b">
        <x:v>0</x:v>
      </x:c>
      <x:c r="P154" s="88"/>
    </x:row>
    <x:row r="155">
      <x:c r="A155" s="56" t="str">
        <x:v>false-surrender</x:v>
      </x:c>
      <x:c r="B155" s="56" t="str">
        <x:v>どげざつき</x:v>
      </x:c>
      <x:c r="C155" s="56" t="str">
        <x:v>False Surrender</x:v>
      </x:c>
      <x:c r="D155" s="85" t="str">
        <x:v>あく</x:v>
      </x:c>
      <x:c r="E155" s="86" t="n">
        <x:v>80</x:v>
      </x:c>
      <x:c r="F155" s="85" t="str">
        <x:v>物理</x:v>
      </x:c>
      <x:c r="G155" s="85" t="str">
        <x:v>単体対象</x:v>
      </x:c>
      <x:c r="H155" s="87" t="b">
        <x:v>1</x:v>
      </x:c>
      <x:c r="I155" s="88"/>
      <x:c r="J155" s="89"/>
      <x:c r="K155" s="88"/>
      <x:c r="L155" s="90" t="n">
        <x:v>0</x:v>
      </x:c>
      <x:c r="M155" s="88"/>
      <x:c r="N155" s="91" t="n">
        <x:v>2</x:v>
      </x:c>
      <x:c r="O155" s="92" t="b">
        <x:v>0</x:v>
      </x:c>
      <x:c r="P155" s="88"/>
    </x:row>
    <x:row r="156">
      <x:c r="A156" s="56" t="str">
        <x:v>false-swipe</x:v>
      </x:c>
      <x:c r="B156" s="56" t="str">
        <x:v>みねうち</x:v>
      </x:c>
      <x:c r="C156" s="56" t="str">
        <x:v>False Swipe</x:v>
      </x:c>
      <x:c r="D156" s="85" t="str">
        <x:v>ノーマル</x:v>
      </x:c>
      <x:c r="E156" s="86" t="n">
        <x:v>40</x:v>
      </x:c>
      <x:c r="F156" s="85" t="str">
        <x:v>物理</x:v>
      </x:c>
      <x:c r="G156" s="85" t="str">
        <x:v>単体対象</x:v>
      </x:c>
      <x:c r="H156" s="87" t="b">
        <x:v>1</x:v>
      </x:c>
      <x:c r="I156" s="88"/>
      <x:c r="J156" s="89"/>
      <x:c r="K156" s="88"/>
      <x:c r="L156" s="90" t="n">
        <x:v>0</x:v>
      </x:c>
      <x:c r="M156" s="88"/>
      <x:c r="N156" s="91" t="n">
        <x:v>153</x:v>
      </x:c>
      <x:c r="O156" s="92" t="b">
        <x:v>0</x:v>
      </x:c>
      <x:c r="P156" s="88"/>
    </x:row>
    <x:row r="157">
      <x:c r="A157" s="56" t="str">
        <x:v>feint</x:v>
      </x:c>
      <x:c r="B157" s="56" t="str">
        <x:v>フェイント</x:v>
      </x:c>
      <x:c r="C157" s="56" t="str">
        <x:v>Feint</x:v>
      </x:c>
      <x:c r="D157" s="85" t="str">
        <x:v>ノーマル</x:v>
      </x:c>
      <x:c r="E157" s="86" t="n">
        <x:v>30</x:v>
      </x:c>
      <x:c r="F157" s="85" t="str">
        <x:v>物理</x:v>
      </x:c>
      <x:c r="G157" s="85" t="str">
        <x:v>単体対象</x:v>
      </x:c>
      <x:c r="H157" s="87" t="b">
        <x:v>1</x:v>
      </x:c>
      <x:c r="I157" s="88"/>
      <x:c r="J157" s="89"/>
      <x:c r="K157" s="88"/>
      <x:c r="L157" s="90" t="n">
        <x:v>1</x:v>
      </x:c>
      <x:c r="M157" s="88"/>
      <x:c r="N157" s="91" t="n">
        <x:v>114</x:v>
      </x:c>
      <x:c r="O157" s="92" t="b">
        <x:v>0</x:v>
      </x:c>
      <x:c r="P157" s="88"/>
    </x:row>
    <x:row r="158">
      <x:c r="A158" s="56" t="str">
        <x:v>feint-attack</x:v>
      </x:c>
      <x:c r="B158" s="56" t="str">
        <x:v>だましうち</x:v>
      </x:c>
      <x:c r="C158" s="56" t="str">
        <x:v>Feint Attack</x:v>
      </x:c>
      <x:c r="D158" s="85" t="str">
        <x:v>あく</x:v>
      </x:c>
      <x:c r="E158" s="86" t="n">
        <x:v>60</x:v>
      </x:c>
      <x:c r="F158" s="85" t="str">
        <x:v>物理</x:v>
      </x:c>
      <x:c r="G158" s="85" t="str">
        <x:v>単体対象</x:v>
      </x:c>
      <x:c r="H158" s="87" t="b">
        <x:v>1</x:v>
      </x:c>
      <x:c r="I158" s="88"/>
      <x:c r="J158" s="89"/>
      <x:c r="K158" s="88"/>
      <x:c r="L158" s="90" t="n">
        <x:v>0</x:v>
      </x:c>
      <x:c r="M158" s="88"/>
      <x:c r="N158" s="91" t="n">
        <x:v>108</x:v>
      </x:c>
      <x:c r="O158" s="92" t="b">
        <x:v>0</x:v>
      </x:c>
      <x:c r="P158" s="88"/>
    </x:row>
    <x:row r="159">
      <x:c r="A159" s="56" t="str">
        <x:v>fell-stinger</x:v>
      </x:c>
      <x:c r="B159" s="56" t="str">
        <x:v>とどめばり</x:v>
      </x:c>
      <x:c r="C159" s="56" t="str">
        <x:v>Fell Stinger</x:v>
      </x:c>
      <x:c r="D159" s="85" t="str">
        <x:v>むし</x:v>
      </x:c>
      <x:c r="E159" s="86" t="n">
        <x:v>50</x:v>
      </x:c>
      <x:c r="F159" s="85" t="str">
        <x:v>物理</x:v>
      </x:c>
      <x:c r="G159" s="85" t="str">
        <x:v>単体対象</x:v>
      </x:c>
      <x:c r="H159" s="87" t="b">
        <x:v>1</x:v>
      </x:c>
      <x:c r="I159" s="88"/>
      <x:c r="J159" s="89"/>
      <x:c r="K159" s="88"/>
      <x:c r="L159" s="90" t="n">
        <x:v>0</x:v>
      </x:c>
      <x:c r="M159" s="88"/>
      <x:c r="N159" s="91" t="n">
        <x:v>24</x:v>
      </x:c>
      <x:c r="O159" s="92" t="b">
        <x:v>0</x:v>
      </x:c>
      <x:c r="P159" s="88"/>
    </x:row>
    <x:row r="160">
      <x:c r="A160" s="56" t="str">
        <x:v>fickle-beam</x:v>
      </x:c>
      <x:c r="B160" s="56" t="str">
        <x:v>きまぐレーザー</x:v>
      </x:c>
      <x:c r="C160" s="56" t="str">
        <x:v>Fickle Beam</x:v>
      </x:c>
      <x:c r="D160" s="85" t="str">
        <x:v>ドラゴン</x:v>
      </x:c>
      <x:c r="E160" s="86" t="n">
        <x:v>80</x:v>
      </x:c>
      <x:c r="F160" s="85" t="str">
        <x:v>特殊</x:v>
      </x:c>
      <x:c r="G160" s="85" t="str">
        <x:v>単体対象</x:v>
      </x:c>
      <x:c r="H160" s="87" t="b">
        <x:v>1</x:v>
      </x:c>
      <x:c r="I160" s="88"/>
      <x:c r="J160" s="89"/>
      <x:c r="K160" s="88"/>
      <x:c r="L160" s="90" t="n">
        <x:v>0</x:v>
      </x:c>
      <x:c r="M160" s="88"/>
      <x:c r="N160" s="91" t="n">
        <x:v>1</x:v>
      </x:c>
      <x:c r="O160" s="92" t="b">
        <x:v>0</x:v>
      </x:c>
      <x:c r="P160" s="88"/>
    </x:row>
    <x:row r="161">
      <x:c r="A161" s="56" t="str">
        <x:v>fiery-dance</x:v>
      </x:c>
      <x:c r="B161" s="56" t="str">
        <x:v>ほのおのまい</x:v>
      </x:c>
      <x:c r="C161" s="56" t="str">
        <x:v>Fiery Dance</x:v>
      </x:c>
      <x:c r="D161" s="85" t="str">
        <x:v>ほのお</x:v>
      </x:c>
      <x:c r="E161" s="86" t="n">
        <x:v>80</x:v>
      </x:c>
      <x:c r="F161" s="85" t="str">
        <x:v>特殊</x:v>
      </x:c>
      <x:c r="G161" s="85" t="str">
        <x:v>単体対象</x:v>
      </x:c>
      <x:c r="H161" s="87" t="b">
        <x:v>1</x:v>
      </x:c>
      <x:c r="I161" s="88"/>
      <x:c r="J161" s="89"/>
      <x:c r="K161" s="88"/>
      <x:c r="L161" s="90" t="n">
        <x:v>0</x:v>
      </x:c>
      <x:c r="M161" s="88"/>
      <x:c r="N161" s="91" t="n">
        <x:v>2</x:v>
      </x:c>
      <x:c r="O161" s="92" t="b">
        <x:v>0</x:v>
      </x:c>
      <x:c r="P161" s="88"/>
    </x:row>
    <x:row r="162">
      <x:c r="A162" s="56" t="str">
        <x:v>fiery-wrath</x:v>
      </x:c>
      <x:c r="B162" s="56" t="str">
        <x:v>もえあがるいかり</x:v>
      </x:c>
      <x:c r="C162" s="56" t="str">
        <x:v>Fiery Wrath</x:v>
      </x:c>
      <x:c r="D162" s="85" t="str">
        <x:v>あく</x:v>
      </x:c>
      <x:c r="E162" s="86" t="n">
        <x:v>90</x:v>
      </x:c>
      <x:c r="F162" s="85" t="str">
        <x:v>特殊</x:v>
      </x:c>
      <x:c r="G162" s="85" t="str">
        <x:v>複数対象</x:v>
      </x:c>
      <x:c r="H162" s="87" t="b">
        <x:v>1</x:v>
      </x:c>
      <x:c r="I162" s="88"/>
      <x:c r="J162" s="89"/>
      <x:c r="K162" s="88"/>
      <x:c r="L162" s="90" t="n">
        <x:v>0</x:v>
      </x:c>
      <x:c r="M162" s="88"/>
      <x:c r="N162" s="91" t="n">
        <x:v>1</x:v>
      </x:c>
      <x:c r="O162" s="92" t="b">
        <x:v>1</x:v>
      </x:c>
      <x:c r="P162" s="88"/>
    </x:row>
    <x:row r="163">
      <x:c r="A163" s="56" t="str">
        <x:v>fire-blast</x:v>
      </x:c>
      <x:c r="B163" s="56" t="str">
        <x:v>だいもんじ</x:v>
      </x:c>
      <x:c r="C163" s="56" t="str">
        <x:v>Fire Blast</x:v>
      </x:c>
      <x:c r="D163" s="85" t="str">
        <x:v>ほのお</x:v>
      </x:c>
      <x:c r="E163" s="86" t="n">
        <x:v>110</x:v>
      </x:c>
      <x:c r="F163" s="85" t="str">
        <x:v>特殊</x:v>
      </x:c>
      <x:c r="G163" s="85" t="str">
        <x:v>単体対象</x:v>
      </x:c>
      <x:c r="H163" s="87" t="b">
        <x:v>1</x:v>
      </x:c>
      <x:c r="I163" s="88"/>
      <x:c r="J163" s="89"/>
      <x:c r="K163" s="88"/>
      <x:c r="L163" s="90" t="n">
        <x:v>0</x:v>
      </x:c>
      <x:c r="M163" s="88"/>
      <x:c r="N163" s="91" t="n">
        <x:v>248</x:v>
      </x:c>
      <x:c r="O163" s="92" t="b">
        <x:v>0</x:v>
      </x:c>
      <x:c r="P163" s="88"/>
    </x:row>
    <x:row r="164">
      <x:c r="A164" s="56" t="str">
        <x:v>fire-fang</x:v>
      </x:c>
      <x:c r="B164" s="56" t="str">
        <x:v>ほのおのキバ</x:v>
      </x:c>
      <x:c r="C164" s="56" t="str">
        <x:v>Fire Fang</x:v>
      </x:c>
      <x:c r="D164" s="85" t="str">
        <x:v>ほのお</x:v>
      </x:c>
      <x:c r="E164" s="86" t="n">
        <x:v>65</x:v>
      </x:c>
      <x:c r="F164" s="85" t="str">
        <x:v>物理</x:v>
      </x:c>
      <x:c r="G164" s="85" t="str">
        <x:v>単体対象</x:v>
      </x:c>
      <x:c r="H164" s="87" t="b">
        <x:v>1</x:v>
      </x:c>
      <x:c r="I164" s="88"/>
      <x:c r="J164" s="89"/>
      <x:c r="K164" s="88"/>
      <x:c r="L164" s="90" t="n">
        <x:v>0</x:v>
      </x:c>
      <x:c r="M164" s="88"/>
      <x:c r="N164" s="91" t="n">
        <x:v>139</x:v>
      </x:c>
      <x:c r="O164" s="92" t="b">
        <x:v>0</x:v>
      </x:c>
      <x:c r="P164" s="88"/>
    </x:row>
    <x:row r="165">
      <x:c r="A165" s="56" t="str">
        <x:v>fire-lash</x:v>
      </x:c>
      <x:c r="B165" s="56" t="str">
        <x:v>ほのおのムチ</x:v>
      </x:c>
      <x:c r="C165" s="56" t="str">
        <x:v>Fire Lash</x:v>
      </x:c>
      <x:c r="D165" s="85" t="str">
        <x:v>ほのお</x:v>
      </x:c>
      <x:c r="E165" s="86" t="n">
        <x:v>80</x:v>
      </x:c>
      <x:c r="F165" s="85" t="str">
        <x:v>物理</x:v>
      </x:c>
      <x:c r="G165" s="85" t="str">
        <x:v>単体対象</x:v>
      </x:c>
      <x:c r="H165" s="87" t="b">
        <x:v>1</x:v>
      </x:c>
      <x:c r="I165" s="88"/>
      <x:c r="J165" s="89"/>
      <x:c r="K165" s="88"/>
      <x:c r="L165" s="90" t="n">
        <x:v>0</x:v>
      </x:c>
      <x:c r="M165" s="88"/>
      <x:c r="N165" s="91" t="n">
        <x:v>4</x:v>
      </x:c>
      <x:c r="O165" s="92" t="b">
        <x:v>0</x:v>
      </x:c>
      <x:c r="P165" s="88"/>
    </x:row>
    <x:row r="166">
      <x:c r="A166" s="56" t="str">
        <x:v>fire-pledge</x:v>
      </x:c>
      <x:c r="B166" s="56" t="str">
        <x:v>ほのおのちかい</x:v>
      </x:c>
      <x:c r="C166" s="56" t="str">
        <x:v>Fire Pledge</x:v>
      </x:c>
      <x:c r="D166" s="85" t="str">
        <x:v>ほのお</x:v>
      </x:c>
      <x:c r="E166" s="86" t="n">
        <x:v>80</x:v>
      </x:c>
      <x:c r="F166" s="85" t="str">
        <x:v>特殊</x:v>
      </x:c>
      <x:c r="G166" s="85" t="str">
        <x:v>単体対象</x:v>
      </x:c>
      <x:c r="H166" s="87" t="b">
        <x:v>1</x:v>
      </x:c>
      <x:c r="I166" s="88"/>
      <x:c r="J166" s="89"/>
      <x:c r="K166" s="88"/>
      <x:c r="L166" s="90" t="n">
        <x:v>0</x:v>
      </x:c>
      <x:c r="M166" s="88"/>
      <x:c r="N166" s="91" t="n">
        <x:v>35</x:v>
      </x:c>
      <x:c r="O166" s="92" t="b">
        <x:v>0</x:v>
      </x:c>
      <x:c r="P166" s="88"/>
    </x:row>
    <x:row r="167">
      <x:c r="A167" s="56" t="str">
        <x:v>fire-punch</x:v>
      </x:c>
      <x:c r="B167" s="56" t="str">
        <x:v>ほのおのパンチ</x:v>
      </x:c>
      <x:c r="C167" s="56" t="str">
        <x:v>Fire Punch</x:v>
      </x:c>
      <x:c r="D167" s="85" t="str">
        <x:v>ほのお</x:v>
      </x:c>
      <x:c r="E167" s="86" t="n">
        <x:v>75</x:v>
      </x:c>
      <x:c r="F167" s="85" t="str">
        <x:v>物理</x:v>
      </x:c>
      <x:c r="G167" s="85" t="str">
        <x:v>単体対象</x:v>
      </x:c>
      <x:c r="H167" s="87" t="b">
        <x:v>1</x:v>
      </x:c>
      <x:c r="I167" s="88"/>
      <x:c r="J167" s="89"/>
      <x:c r="K167" s="88"/>
      <x:c r="L167" s="90" t="n">
        <x:v>0</x:v>
      </x:c>
      <x:c r="M167" s="88"/>
      <x:c r="N167" s="91" t="n">
        <x:v>215</x:v>
      </x:c>
      <x:c r="O167" s="92" t="b">
        <x:v>0</x:v>
      </x:c>
      <x:c r="P167" s="88"/>
    </x:row>
    <x:row r="168">
      <x:c r="A168" s="56" t="str">
        <x:v>fire-spin</x:v>
      </x:c>
      <x:c r="B168" s="56" t="str">
        <x:v>ほのおのうず</x:v>
      </x:c>
      <x:c r="C168" s="56" t="str">
        <x:v>Fire Spin</x:v>
      </x:c>
      <x:c r="D168" s="85" t="str">
        <x:v>ほのお</x:v>
      </x:c>
      <x:c r="E168" s="86" t="n">
        <x:v>35</x:v>
      </x:c>
      <x:c r="F168" s="85" t="str">
        <x:v>特殊</x:v>
      </x:c>
      <x:c r="G168" s="85" t="str">
        <x:v>単体対象</x:v>
      </x:c>
      <x:c r="H168" s="87" t="b">
        <x:v>1</x:v>
      </x:c>
      <x:c r="I168" s="88"/>
      <x:c r="J168" s="89"/>
      <x:c r="K168" s="88"/>
      <x:c r="L168" s="90" t="n">
        <x:v>0</x:v>
      </x:c>
      <x:c r="M168" s="88"/>
      <x:c r="N168" s="91" t="n">
        <x:v>118</x:v>
      </x:c>
      <x:c r="O168" s="92" t="b">
        <x:v>0</x:v>
      </x:c>
      <x:c r="P168" s="88"/>
    </x:row>
    <x:row r="169">
      <x:c r="A169" s="56" t="str">
        <x:v>first-impression</x:v>
      </x:c>
      <x:c r="B169" s="56" t="str">
        <x:v>であいがしら</x:v>
      </x:c>
      <x:c r="C169" s="56" t="str">
        <x:v>First Impression</x:v>
      </x:c>
      <x:c r="D169" s="85" t="str">
        <x:v>むし</x:v>
      </x:c>
      <x:c r="E169" s="86" t="n">
        <x:v>90</x:v>
      </x:c>
      <x:c r="F169" s="85" t="str">
        <x:v>物理</x:v>
      </x:c>
      <x:c r="G169" s="85" t="str">
        <x:v>単体対象</x:v>
      </x:c>
      <x:c r="H169" s="87" t="b">
        <x:v>1</x:v>
      </x:c>
      <x:c r="I169" s="88"/>
      <x:c r="J169" s="89"/>
      <x:c r="K169" s="88"/>
      <x:c r="L169" s="90" t="n">
        <x:v>1</x:v>
      </x:c>
      <x:c r="M169" s="88"/>
      <x:c r="N169" s="91" t="n">
        <x:v>14</x:v>
      </x:c>
      <x:c r="O169" s="92" t="b">
        <x:v>0</x:v>
      </x:c>
      <x:c r="P169" s="88"/>
    </x:row>
    <x:row r="170">
      <x:c r="A170" s="56" t="str">
        <x:v>fishious-rend</x:v>
      </x:c>
      <x:c r="B170" s="56" t="str">
        <x:v>エラがみ</x:v>
      </x:c>
      <x:c r="C170" s="56" t="str">
        <x:v>Fishious Rend</x:v>
      </x:c>
      <x:c r="D170" s="85" t="str">
        <x:v>みず</x:v>
      </x:c>
      <x:c r="E170" s="86" t="n">
        <x:v>85</x:v>
      </x:c>
      <x:c r="F170" s="85" t="str">
        <x:v>物理</x:v>
      </x:c>
      <x:c r="G170" s="85" t="str">
        <x:v>単体対象</x:v>
      </x:c>
      <x:c r="H170" s="87" t="b">
        <x:v>1</x:v>
      </x:c>
      <x:c r="I170" s="88"/>
      <x:c r="J170" s="89"/>
      <x:c r="K170" s="88"/>
      <x:c r="L170" s="90" t="n">
        <x:v>0</x:v>
      </x:c>
      <x:c r="M170" s="88"/>
      <x:c r="N170" s="91" t="n">
        <x:v>2</x:v>
      </x:c>
      <x:c r="O170" s="92" t="b">
        <x:v>0</x:v>
      </x:c>
      <x:c r="P170" s="88"/>
    </x:row>
    <x:row r="171">
      <x:c r="A171" s="56" t="str">
        <x:v>flame-burst</x:v>
      </x:c>
      <x:c r="B171" s="56" t="str">
        <x:v>はじけるほのお</x:v>
      </x:c>
      <x:c r="C171" s="56" t="str">
        <x:v>Flame Burst</x:v>
      </x:c>
      <x:c r="D171" s="85" t="str">
        <x:v>ほのお</x:v>
      </x:c>
      <x:c r="E171" s="86" t="n">
        <x:v>70</x:v>
      </x:c>
      <x:c r="F171" s="85" t="str">
        <x:v>特殊</x:v>
      </x:c>
      <x:c r="G171" s="85" t="str">
        <x:v>単体対象</x:v>
      </x:c>
      <x:c r="H171" s="87" t="b">
        <x:v>1</x:v>
      </x:c>
      <x:c r="I171" s="88"/>
      <x:c r="J171" s="89"/>
      <x:c r="K171" s="88"/>
      <x:c r="L171" s="90" t="n">
        <x:v>0</x:v>
      </x:c>
      <x:c r="M171" s="88"/>
      <x:c r="N171" s="91" t="n">
        <x:v>31</x:v>
      </x:c>
      <x:c r="O171" s="92" t="b">
        <x:v>0</x:v>
      </x:c>
      <x:c r="P171" s="88"/>
    </x:row>
    <x:row r="172">
      <x:c r="A172" s="56" t="str">
        <x:v>flame-charge</x:v>
      </x:c>
      <x:c r="B172" s="56" t="str">
        <x:v>ニトロチャージ</x:v>
      </x:c>
      <x:c r="C172" s="56" t="str">
        <x:v>Flame Charge</x:v>
      </x:c>
      <x:c r="D172" s="85" t="str">
        <x:v>ほのお</x:v>
      </x:c>
      <x:c r="E172" s="86" t="n">
        <x:v>50</x:v>
      </x:c>
      <x:c r="F172" s="85" t="str">
        <x:v>物理</x:v>
      </x:c>
      <x:c r="G172" s="85" t="str">
        <x:v>単体対象</x:v>
      </x:c>
      <x:c r="H172" s="87" t="b">
        <x:v>1</x:v>
      </x:c>
      <x:c r="I172" s="88"/>
      <x:c r="J172" s="89"/>
      <x:c r="K172" s="88"/>
      <x:c r="L172" s="90" t="n">
        <x:v>0</x:v>
      </x:c>
      <x:c r="M172" s="88"/>
      <x:c r="N172" s="91" t="n">
        <x:v>119</x:v>
      </x:c>
      <x:c r="O172" s="92" t="b">
        <x:v>0</x:v>
      </x:c>
      <x:c r="P172" s="88"/>
    </x:row>
    <x:row r="173">
      <x:c r="A173" s="56" t="str">
        <x:v>flame-wheel</x:v>
      </x:c>
      <x:c r="B173" s="56" t="str">
        <x:v>かえんぐるま</x:v>
      </x:c>
      <x:c r="C173" s="56" t="str">
        <x:v>Flame Wheel</x:v>
      </x:c>
      <x:c r="D173" s="85" t="str">
        <x:v>ほのお</x:v>
      </x:c>
      <x:c r="E173" s="86" t="n">
        <x:v>60</x:v>
      </x:c>
      <x:c r="F173" s="85" t="str">
        <x:v>物理</x:v>
      </x:c>
      <x:c r="G173" s="85" t="str">
        <x:v>単体対象</x:v>
      </x:c>
      <x:c r="H173" s="87" t="b">
        <x:v>1</x:v>
      </x:c>
      <x:c r="I173" s="88"/>
      <x:c r="J173" s="89"/>
      <x:c r="K173" s="88"/>
      <x:c r="L173" s="90" t="n">
        <x:v>0</x:v>
      </x:c>
      <x:c r="M173" s="88"/>
      <x:c r="N173" s="91" t="n">
        <x:v>32</x:v>
      </x:c>
      <x:c r="O173" s="92" t="b">
        <x:v>0</x:v>
      </x:c>
      <x:c r="P173" s="88"/>
    </x:row>
    <x:row r="174">
      <x:c r="A174" s="56" t="str">
        <x:v>flamethrower</x:v>
      </x:c>
      <x:c r="B174" s="56" t="str">
        <x:v>かえんほうしゃ</x:v>
      </x:c>
      <x:c r="C174" s="56" t="str">
        <x:v>Flamethrower</x:v>
      </x:c>
      <x:c r="D174" s="85" t="str">
        <x:v>ほのお</x:v>
      </x:c>
      <x:c r="E174" s="86" t="n">
        <x:v>90</x:v>
      </x:c>
      <x:c r="F174" s="85" t="str">
        <x:v>特殊</x:v>
      </x:c>
      <x:c r="G174" s="85" t="str">
        <x:v>単体対象</x:v>
      </x:c>
      <x:c r="H174" s="87" t="b">
        <x:v>1</x:v>
      </x:c>
      <x:c r="I174" s="88"/>
      <x:c r="J174" s="89"/>
      <x:c r="K174" s="88"/>
      <x:c r="L174" s="90" t="n">
        <x:v>0</x:v>
      </x:c>
      <x:c r="M174" s="88"/>
      <x:c r="N174" s="91" t="n">
        <x:v>275</x:v>
      </x:c>
      <x:c r="O174" s="92" t="b">
        <x:v>0</x:v>
      </x:c>
      <x:c r="P174" s="88"/>
    </x:row>
    <x:row r="175">
      <x:c r="A175" s="56" t="str">
        <x:v>flare-blitz</x:v>
      </x:c>
      <x:c r="B175" s="56" t="str">
        <x:v>フレアドライブ</x:v>
      </x:c>
      <x:c r="C175" s="56" t="str">
        <x:v>Flare Blitz</x:v>
      </x:c>
      <x:c r="D175" s="85" t="str">
        <x:v>ほのお</x:v>
      </x:c>
      <x:c r="E175" s="86" t="n">
        <x:v>120</x:v>
      </x:c>
      <x:c r="F175" s="85" t="str">
        <x:v>物理</x:v>
      </x:c>
      <x:c r="G175" s="85" t="str">
        <x:v>単体対象</x:v>
      </x:c>
      <x:c r="H175" s="87" t="b">
        <x:v>1</x:v>
      </x:c>
      <x:c r="I175" s="88"/>
      <x:c r="J175" s="89"/>
      <x:c r="K175" s="88"/>
      <x:c r="L175" s="90" t="n">
        <x:v>0</x:v>
      </x:c>
      <x:c r="M175" s="88"/>
      <x:c r="N175" s="91" t="n">
        <x:v>109</x:v>
      </x:c>
      <x:c r="O175" s="92" t="b">
        <x:v>0</x:v>
      </x:c>
      <x:c r="P175" s="88"/>
    </x:row>
    <x:row r="176">
      <x:c r="A176" s="56" t="str">
        <x:v>flash-cannon</x:v>
      </x:c>
      <x:c r="B176" s="56" t="str">
        <x:v>ラスターカノン</x:v>
      </x:c>
      <x:c r="C176" s="56" t="str">
        <x:v>Flash Cannon</x:v>
      </x:c>
      <x:c r="D176" s="85" t="str">
        <x:v>はがね</x:v>
      </x:c>
      <x:c r="E176" s="86" t="n">
        <x:v>80</x:v>
      </x:c>
      <x:c r="F176" s="85" t="str">
        <x:v>特殊</x:v>
      </x:c>
      <x:c r="G176" s="85" t="str">
        <x:v>単体対象</x:v>
      </x:c>
      <x:c r="H176" s="87" t="b">
        <x:v>1</x:v>
      </x:c>
      <x:c r="I176" s="88"/>
      <x:c r="J176" s="89"/>
      <x:c r="K176" s="88"/>
      <x:c r="L176" s="90" t="n">
        <x:v>0</x:v>
      </x:c>
      <x:c r="M176" s="88"/>
      <x:c r="N176" s="91" t="n">
        <x:v>182</x:v>
      </x:c>
      <x:c r="O176" s="92" t="b">
        <x:v>0</x:v>
      </x:c>
      <x:c r="P176" s="88"/>
    </x:row>
    <x:row r="177">
      <x:c r="A177" s="56" t="str">
        <x:v>fleur-cannon</x:v>
      </x:c>
      <x:c r="B177" s="56" t="str">
        <x:v>フルールカノン</x:v>
      </x:c>
      <x:c r="C177" s="56" t="str">
        <x:v>Fleur Cannon</x:v>
      </x:c>
      <x:c r="D177" s="85" t="str">
        <x:v>フェアリー</x:v>
      </x:c>
      <x:c r="E177" s="86" t="n">
        <x:v>130</x:v>
      </x:c>
      <x:c r="F177" s="85" t="str">
        <x:v>特殊</x:v>
      </x:c>
      <x:c r="G177" s="85" t="str">
        <x:v>単体対象</x:v>
      </x:c>
      <x:c r="H177" s="87" t="b">
        <x:v>1</x:v>
      </x:c>
      <x:c r="I177" s="88"/>
      <x:c r="J177" s="89"/>
      <x:c r="K177" s="88"/>
      <x:c r="L177" s="90" t="n">
        <x:v>0</x:v>
      </x:c>
      <x:c r="M177" s="88"/>
      <x:c r="N177" s="91" t="n">
        <x:v>2</x:v>
      </x:c>
      <x:c r="O177" s="92" t="b">
        <x:v>0</x:v>
      </x:c>
      <x:c r="P177" s="88"/>
    </x:row>
    <x:row r="178">
      <x:c r="A178" s="56" t="str">
        <x:v>flip-turn</x:v>
      </x:c>
      <x:c r="B178" s="56" t="str">
        <x:v>クイックターン</x:v>
      </x:c>
      <x:c r="C178" s="56" t="str">
        <x:v>Flip Turn</x:v>
      </x:c>
      <x:c r="D178" s="85" t="str">
        <x:v>みず</x:v>
      </x:c>
      <x:c r="E178" s="86" t="n">
        <x:v>60</x:v>
      </x:c>
      <x:c r="F178" s="85" t="str">
        <x:v>物理</x:v>
      </x:c>
      <x:c r="G178" s="85" t="str">
        <x:v>単体対象</x:v>
      </x:c>
      <x:c r="H178" s="87" t="b">
        <x:v>1</x:v>
      </x:c>
      <x:c r="I178" s="88"/>
      <x:c r="J178" s="89"/>
      <x:c r="K178" s="88"/>
      <x:c r="L178" s="90" t="n">
        <x:v>0</x:v>
      </x:c>
      <x:c r="M178" s="88"/>
      <x:c r="N178" s="91" t="n">
        <x:v>82</x:v>
      </x:c>
      <x:c r="O178" s="92" t="b">
        <x:v>0</x:v>
      </x:c>
      <x:c r="P178" s="88"/>
    </x:row>
    <x:row r="179">
      <x:c r="A179" s="56" t="str">
        <x:v>floaty-fall</x:v>
      </x:c>
      <x:c r="B179" s="56" t="str">
        <x:v>ふわふわフォール</x:v>
      </x:c>
      <x:c r="C179" s="56" t="str">
        <x:v>Floaty Fall</x:v>
      </x:c>
      <x:c r="D179" s="85" t="str">
        <x:v>ひこう</x:v>
      </x:c>
      <x:c r="E179" s="86" t="n">
        <x:v>90</x:v>
      </x:c>
      <x:c r="F179" s="85" t="str">
        <x:v>物理</x:v>
      </x:c>
      <x:c r="G179" s="85" t="str">
        <x:v>単体対象</x:v>
      </x:c>
      <x:c r="H179" s="87" t="b">
        <x:v>1</x:v>
      </x:c>
      <x:c r="I179" s="88"/>
      <x:c r="J179" s="89"/>
      <x:c r="K179" s="88"/>
      <x:c r="L179" s="90" t="n">
        <x:v>0</x:v>
      </x:c>
      <x:c r="M179" s="88"/>
      <x:c r="N179" s="91" t="n">
        <x:v>1</x:v>
      </x:c>
      <x:c r="O179" s="92" t="b">
        <x:v>0</x:v>
      </x:c>
      <x:c r="P179" s="88"/>
    </x:row>
    <x:row r="180">
      <x:c r="A180" s="56" t="str">
        <x:v>flower-trick</x:v>
      </x:c>
      <x:c r="B180" s="56" t="str">
        <x:v>トリックフラワー</x:v>
      </x:c>
      <x:c r="C180" s="56" t="str">
        <x:v>Flower Trick</x:v>
      </x:c>
      <x:c r="D180" s="85" t="str">
        <x:v>くさ</x:v>
      </x:c>
      <x:c r="E180" s="86" t="n">
        <x:v>70</x:v>
      </x:c>
      <x:c r="F180" s="85" t="str">
        <x:v>物理</x:v>
      </x:c>
      <x:c r="G180" s="85" t="str">
        <x:v>単体対象</x:v>
      </x:c>
      <x:c r="H180" s="87" t="b">
        <x:v>1</x:v>
      </x:c>
      <x:c r="I180" s="88"/>
      <x:c r="J180" s="89"/>
      <x:c r="K180" s="88"/>
      <x:c r="L180" s="90" t="n">
        <x:v>0</x:v>
      </x:c>
      <x:c r="M180" s="88"/>
      <x:c r="N180" s="91" t="n">
        <x:v>1</x:v>
      </x:c>
      <x:c r="O180" s="92" t="b">
        <x:v>0</x:v>
      </x:c>
      <x:c r="P180" s="88"/>
    </x:row>
    <x:row r="181">
      <x:c r="A181" s="56" t="str">
        <x:v>fly</x:v>
      </x:c>
      <x:c r="B181" s="56" t="str">
        <x:v>そらをとぶ</x:v>
      </x:c>
      <x:c r="C181" s="56" t="str">
        <x:v>Fly</x:v>
      </x:c>
      <x:c r="D181" s="85" t="str">
        <x:v>ひこう</x:v>
      </x:c>
      <x:c r="E181" s="86" t="n">
        <x:v>90</x:v>
      </x:c>
      <x:c r="F181" s="85" t="str">
        <x:v>物理</x:v>
      </x:c>
      <x:c r="G181" s="85" t="str">
        <x:v>単体対象</x:v>
      </x:c>
      <x:c r="H181" s="87" t="b">
        <x:v>1</x:v>
      </x:c>
      <x:c r="I181" s="88"/>
      <x:c r="J181" s="89"/>
      <x:c r="K181" s="88"/>
      <x:c r="L181" s="90" t="n">
        <x:v>0</x:v>
      </x:c>
      <x:c r="M181" s="88"/>
      <x:c r="N181" s="91" t="n">
        <x:v>140</x:v>
      </x:c>
      <x:c r="O181" s="92" t="b">
        <x:v>0</x:v>
      </x:c>
      <x:c r="P181" s="88"/>
    </x:row>
    <x:row r="182">
      <x:c r="A182" s="56" t="str">
        <x:v>flying-press</x:v>
      </x:c>
      <x:c r="B182" s="56" t="str">
        <x:v>フライングプレス</x:v>
      </x:c>
      <x:c r="C182" s="56" t="str">
        <x:v>Flying Press</x:v>
      </x:c>
      <x:c r="D182" s="85" t="str">
        <x:v>かくとう</x:v>
      </x:c>
      <x:c r="E182" s="86" t="n">
        <x:v>100</x:v>
      </x:c>
      <x:c r="F182" s="85" t="str">
        <x:v>物理</x:v>
      </x:c>
      <x:c r="G182" s="85" t="str">
        <x:v>単体対象</x:v>
      </x:c>
      <x:c r="H182" s="87" t="b">
        <x:v>1</x:v>
      </x:c>
      <x:c r="I182" s="88"/>
      <x:c r="J182" s="89"/>
      <x:c r="K182" s="88"/>
      <x:c r="L182" s="90" t="n">
        <x:v>0</x:v>
      </x:c>
      <x:c r="M182" s="88"/>
      <x:c r="N182" s="91" t="n">
        <x:v>3</x:v>
      </x:c>
      <x:c r="O182" s="92" t="b">
        <x:v>0</x:v>
      </x:c>
      <x:c r="P182" s="88"/>
    </x:row>
    <x:row r="183">
      <x:c r="A183" s="56" t="str">
        <x:v>focus-blast</x:v>
      </x:c>
      <x:c r="B183" s="56" t="str">
        <x:v>きあいだま</x:v>
      </x:c>
      <x:c r="C183" s="56" t="str">
        <x:v>Focus Blast</x:v>
      </x:c>
      <x:c r="D183" s="85" t="str">
        <x:v>かくとう</x:v>
      </x:c>
      <x:c r="E183" s="86" t="n">
        <x:v>120</x:v>
      </x:c>
      <x:c r="F183" s="85" t="str">
        <x:v>特殊</x:v>
      </x:c>
      <x:c r="G183" s="85" t="str">
        <x:v>単体対象</x:v>
      </x:c>
      <x:c r="H183" s="87" t="b">
        <x:v>1</x:v>
      </x:c>
      <x:c r="I183" s="88"/>
      <x:c r="J183" s="89"/>
      <x:c r="K183" s="88"/>
      <x:c r="L183" s="90" t="n">
        <x:v>0</x:v>
      </x:c>
      <x:c r="M183" s="88"/>
      <x:c r="N183" s="91" t="n">
        <x:v>309</x:v>
      </x:c>
      <x:c r="O183" s="92" t="b">
        <x:v>0</x:v>
      </x:c>
      <x:c r="P183" s="88"/>
    </x:row>
    <x:row r="184">
      <x:c r="A184" s="56" t="str">
        <x:v>focus-punch</x:v>
      </x:c>
      <x:c r="B184" s="56" t="str">
        <x:v>きあいパンチ</x:v>
      </x:c>
      <x:c r="C184" s="56" t="str">
        <x:v>Focus Punch</x:v>
      </x:c>
      <x:c r="D184" s="85" t="str">
        <x:v>かくとう</x:v>
      </x:c>
      <x:c r="E184" s="86" t="n">
        <x:v>150</x:v>
      </x:c>
      <x:c r="F184" s="85" t="str">
        <x:v>物理</x:v>
      </x:c>
      <x:c r="G184" s="85" t="str">
        <x:v>単体対象</x:v>
      </x:c>
      <x:c r="H184" s="87" t="b">
        <x:v>1</x:v>
      </x:c>
      <x:c r="I184" s="88"/>
      <x:c r="J184" s="89"/>
      <x:c r="K184" s="88"/>
      <x:c r="L184" s="90" t="n">
        <x:v>0</x:v>
      </x:c>
      <x:c r="M184" s="88"/>
      <x:c r="N184" s="91" t="n">
        <x:v>300</x:v>
      </x:c>
      <x:c r="O184" s="92" t="b">
        <x:v>0</x:v>
      </x:c>
      <x:c r="P184" s="88"/>
    </x:row>
    <x:row r="185">
      <x:c r="A185" s="56" t="str">
        <x:v>force-palm</x:v>
      </x:c>
      <x:c r="B185" s="56" t="str">
        <x:v>はっけい</x:v>
      </x:c>
      <x:c r="C185" s="56" t="str">
        <x:v>Force Palm</x:v>
      </x:c>
      <x:c r="D185" s="85" t="str">
        <x:v>かくとう</x:v>
      </x:c>
      <x:c r="E185" s="86" t="n">
        <x:v>60</x:v>
      </x:c>
      <x:c r="F185" s="85" t="str">
        <x:v>物理</x:v>
      </x:c>
      <x:c r="G185" s="85" t="str">
        <x:v>単体対象</x:v>
      </x:c>
      <x:c r="H185" s="87" t="b">
        <x:v>1</x:v>
      </x:c>
      <x:c r="I185" s="88"/>
      <x:c r="J185" s="89"/>
      <x:c r="K185" s="88"/>
      <x:c r="L185" s="90" t="n">
        <x:v>0</x:v>
      </x:c>
      <x:c r="M185" s="88"/>
      <x:c r="N185" s="91" t="n">
        <x:v>15</x:v>
      </x:c>
      <x:c r="O185" s="92" t="b">
        <x:v>0</x:v>
      </x:c>
      <x:c r="P185" s="88"/>
    </x:row>
    <x:row r="186">
      <x:c r="A186" s="56" t="str">
        <x:v>foul-play</x:v>
      </x:c>
      <x:c r="B186" s="56" t="str">
        <x:v>イカサマ</x:v>
      </x:c>
      <x:c r="C186" s="56" t="str">
        <x:v>Foul Play</x:v>
      </x:c>
      <x:c r="D186" s="85" t="str">
        <x:v>あく</x:v>
      </x:c>
      <x:c r="E186" s="86" t="n">
        <x:v>95</x:v>
      </x:c>
      <x:c r="F186" s="85" t="str">
        <x:v>物理</x:v>
      </x:c>
      <x:c r="G186" s="85" t="str">
        <x:v>単体対象</x:v>
      </x:c>
      <x:c r="H186" s="87" t="b">
        <x:v>1</x:v>
      </x:c>
      <x:c r="I186" s="88"/>
      <x:c r="J186" s="89"/>
      <x:c r="K186" s="88"/>
      <x:c r="L186" s="90" t="n">
        <x:v>0</x:v>
      </x:c>
      <x:c r="M186" s="88"/>
      <x:c r="N186" s="91" t="n">
        <x:v>200</x:v>
      </x:c>
      <x:c r="O186" s="92" t="b">
        <x:v>0</x:v>
      </x:c>
      <x:c r="P186" s="88"/>
    </x:row>
    <x:row r="187">
      <x:c r="A187" s="56" t="str">
        <x:v>freeze-dry</x:v>
      </x:c>
      <x:c r="B187" s="56" t="str">
        <x:v>フリーズドライ</x:v>
      </x:c>
      <x:c r="C187" s="56" t="str">
        <x:v>Freeze-Dry</x:v>
      </x:c>
      <x:c r="D187" s="85" t="str">
        <x:v>こおり</x:v>
      </x:c>
      <x:c r="E187" s="86" t="n">
        <x:v>70</x:v>
      </x:c>
      <x:c r="F187" s="85" t="str">
        <x:v>特殊</x:v>
      </x:c>
      <x:c r="G187" s="85" t="str">
        <x:v>単体対象</x:v>
      </x:c>
      <x:c r="H187" s="87" t="b">
        <x:v>1</x:v>
      </x:c>
      <x:c r="I187" s="88"/>
      <x:c r="J187" s="89"/>
      <x:c r="K187" s="88"/>
      <x:c r="L187" s="90" t="n">
        <x:v>0</x:v>
      </x:c>
      <x:c r="M187" s="88"/>
      <x:c r="N187" s="91" t="n">
        <x:v>27</x:v>
      </x:c>
      <x:c r="O187" s="92" t="b">
        <x:v>0</x:v>
      </x:c>
      <x:c r="P187" s="88"/>
    </x:row>
    <x:row r="188">
      <x:c r="A188" s="56" t="str">
        <x:v>freeze-shock</x:v>
      </x:c>
      <x:c r="B188" s="56" t="str">
        <x:v>フリーズボルト</x:v>
      </x:c>
      <x:c r="C188" s="56" t="str">
        <x:v>Freeze Shock</x:v>
      </x:c>
      <x:c r="D188" s="85" t="str">
        <x:v>こおり</x:v>
      </x:c>
      <x:c r="E188" s="86" t="n">
        <x:v>140</x:v>
      </x:c>
      <x:c r="F188" s="85" t="str">
        <x:v>物理</x:v>
      </x:c>
      <x:c r="G188" s="85" t="str">
        <x:v>単体対象</x:v>
      </x:c>
      <x:c r="H188" s="87" t="b">
        <x:v>1</x:v>
      </x:c>
      <x:c r="I188" s="88"/>
      <x:c r="J188" s="89"/>
      <x:c r="K188" s="88"/>
      <x:c r="L188" s="90" t="n">
        <x:v>0</x:v>
      </x:c>
      <x:c r="M188" s="88"/>
      <x:c r="N188" s="91" t="n">
        <x:v>1</x:v>
      </x:c>
      <x:c r="O188" s="92" t="b">
        <x:v>0</x:v>
      </x:c>
      <x:c r="P188" s="88"/>
    </x:row>
    <x:row r="189">
      <x:c r="A189" s="56" t="str">
        <x:v>freezing-glare</x:v>
      </x:c>
      <x:c r="B189" s="56" t="str">
        <x:v>いてつくしせん</x:v>
      </x:c>
      <x:c r="C189" s="56" t="str">
        <x:v>Freezing Glare</x:v>
      </x:c>
      <x:c r="D189" s="85" t="str">
        <x:v>エスパー</x:v>
      </x:c>
      <x:c r="E189" s="86" t="n">
        <x:v>90</x:v>
      </x:c>
      <x:c r="F189" s="85" t="str">
        <x:v>特殊</x:v>
      </x:c>
      <x:c r="G189" s="85" t="str">
        <x:v>単体対象</x:v>
      </x:c>
      <x:c r="H189" s="87" t="b">
        <x:v>1</x:v>
      </x:c>
      <x:c r="I189" s="88"/>
      <x:c r="J189" s="89"/>
      <x:c r="K189" s="88"/>
      <x:c r="L189" s="90" t="n">
        <x:v>0</x:v>
      </x:c>
      <x:c r="M189" s="88"/>
      <x:c r="N189" s="91" t="n">
        <x:v>1</x:v>
      </x:c>
      <x:c r="O189" s="92" t="b">
        <x:v>0</x:v>
      </x:c>
      <x:c r="P189" s="88"/>
    </x:row>
    <x:row r="190">
      <x:c r="A190" s="56" t="str">
        <x:v>freezy-frost</x:v>
      </x:c>
      <x:c r="B190" s="56" t="str">
        <x:v>こちこちフロスト</x:v>
      </x:c>
      <x:c r="C190" s="56" t="str">
        <x:v>Freezy Frost</x:v>
      </x:c>
      <x:c r="D190" s="85" t="str">
        <x:v>こおり</x:v>
      </x:c>
      <x:c r="E190" s="86" t="n">
        <x:v>100</x:v>
      </x:c>
      <x:c r="F190" s="85" t="str">
        <x:v>特殊</x:v>
      </x:c>
      <x:c r="G190" s="85" t="str">
        <x:v>単体対象</x:v>
      </x:c>
      <x:c r="H190" s="87" t="b">
        <x:v>1</x:v>
      </x:c>
      <x:c r="I190" s="88"/>
      <x:c r="J190" s="89"/>
      <x:c r="K190" s="88"/>
      <x:c r="L190" s="90" t="n">
        <x:v>0</x:v>
      </x:c>
      <x:c r="M190" s="88"/>
      <x:c r="N190" s="91" t="n">
        <x:v>1</x:v>
      </x:c>
      <x:c r="O190" s="92" t="b">
        <x:v>0</x:v>
      </x:c>
      <x:c r="P190" s="88"/>
    </x:row>
    <x:row r="191">
      <x:c r="A191" s="56" t="str">
        <x:v>frenzy-plant</x:v>
      </x:c>
      <x:c r="B191" s="56" t="str">
        <x:v>ハードプラント</x:v>
      </x:c>
      <x:c r="C191" s="56" t="str">
        <x:v>Frenzy Plant</x:v>
      </x:c>
      <x:c r="D191" s="85" t="str">
        <x:v>くさ</x:v>
      </x:c>
      <x:c r="E191" s="86" t="n">
        <x:v>150</x:v>
      </x:c>
      <x:c r="F191" s="85" t="str">
        <x:v>特殊</x:v>
      </x:c>
      <x:c r="G191" s="85" t="str">
        <x:v>単体対象</x:v>
      </x:c>
      <x:c r="H191" s="87" t="b">
        <x:v>1</x:v>
      </x:c>
      <x:c r="I191" s="88"/>
      <x:c r="J191" s="89"/>
      <x:c r="K191" s="88"/>
      <x:c r="L191" s="90" t="n">
        <x:v>0</x:v>
      </x:c>
      <x:c r="M191" s="88"/>
      <x:c r="N191" s="91" t="n">
        <x:v>15</x:v>
      </x:c>
      <x:c r="O191" s="92" t="b">
        <x:v>0</x:v>
      </x:c>
      <x:c r="P191" s="88"/>
    </x:row>
    <x:row r="192">
      <x:c r="A192" s="56" t="str">
        <x:v>frost-breath</x:v>
      </x:c>
      <x:c r="B192" s="56" t="str">
        <x:v>こおりのいぶき</x:v>
      </x:c>
      <x:c r="C192" s="56" t="str">
        <x:v>Frost Breath</x:v>
      </x:c>
      <x:c r="D192" s="85" t="str">
        <x:v>こおり</x:v>
      </x:c>
      <x:c r="E192" s="86" t="n">
        <x:v>60</x:v>
      </x:c>
      <x:c r="F192" s="85" t="str">
        <x:v>特殊</x:v>
      </x:c>
      <x:c r="G192" s="85" t="str">
        <x:v>単体対象</x:v>
      </x:c>
      <x:c r="H192" s="87" t="b">
        <x:v>1</x:v>
      </x:c>
      <x:c r="I192" s="88"/>
      <x:c r="J192" s="89"/>
      <x:c r="K192" s="88"/>
      <x:c r="L192" s="90" t="n">
        <x:v>0</x:v>
      </x:c>
      <x:c r="M192" s="88"/>
      <x:c r="N192" s="91" t="n">
        <x:v>45</x:v>
      </x:c>
      <x:c r="O192" s="92" t="b">
        <x:v>0</x:v>
      </x:c>
      <x:c r="P192" s="88"/>
    </x:row>
    <x:row r="193">
      <x:c r="A193" s="56" t="str">
        <x:v>fury-attack</x:v>
      </x:c>
      <x:c r="B193" s="56" t="str">
        <x:v>みだれづき</x:v>
      </x:c>
      <x:c r="C193" s="56" t="str">
        <x:v>Fury Attack</x:v>
      </x:c>
      <x:c r="D193" s="85" t="str">
        <x:v>ノーマル</x:v>
      </x:c>
      <x:c r="E193" s="86" t="n">
        <x:v>15</x:v>
      </x:c>
      <x:c r="F193" s="85" t="str">
        <x:v>物理</x:v>
      </x:c>
      <x:c r="G193" s="85" t="str">
        <x:v>単体対象</x:v>
      </x:c>
      <x:c r="H193" s="87" t="b">
        <x:v>1</x:v>
      </x:c>
      <x:c r="I193" s="88"/>
      <x:c r="J193" s="89"/>
      <x:c r="K193" s="88"/>
      <x:c r="L193" s="90" t="n">
        <x:v>0</x:v>
      </x:c>
      <x:c r="M193" s="88"/>
      <x:c r="N193" s="91" t="n">
        <x:v>60</x:v>
      </x:c>
      <x:c r="O193" s="92" t="b">
        <x:v>0</x:v>
      </x:c>
      <x:c r="P193" s="88"/>
    </x:row>
    <x:row r="194">
      <x:c r="A194" s="56" t="str">
        <x:v>fury-cutter</x:v>
      </x:c>
      <x:c r="B194" s="56" t="str">
        <x:v>れんぞくぎり</x:v>
      </x:c>
      <x:c r="C194" s="56" t="str">
        <x:v>Fury Cutter</x:v>
      </x:c>
      <x:c r="D194" s="85" t="str">
        <x:v>むし</x:v>
      </x:c>
      <x:c r="E194" s="86" t="n">
        <x:v>40</x:v>
      </x:c>
      <x:c r="F194" s="85" t="str">
        <x:v>物理</x:v>
      </x:c>
      <x:c r="G194" s="85" t="str">
        <x:v>単体対象</x:v>
      </x:c>
      <x:c r="H194" s="87" t="b">
        <x:v>1</x:v>
      </x:c>
      <x:c r="I194" s="88"/>
      <x:c r="J194" s="89"/>
      <x:c r="K194" s="88"/>
      <x:c r="L194" s="90" t="n">
        <x:v>0</x:v>
      </x:c>
      <x:c r="M194" s="88"/>
      <x:c r="N194" s="91" t="n">
        <x:v>170</x:v>
      </x:c>
      <x:c r="O194" s="92" t="b">
        <x:v>0</x:v>
      </x:c>
      <x:c r="P194" s="88"/>
    </x:row>
    <x:row r="195">
      <x:c r="A195" s="56" t="str">
        <x:v>fury-swipes</x:v>
      </x:c>
      <x:c r="B195" s="56" t="str">
        <x:v>みだれひっかき</x:v>
      </x:c>
      <x:c r="C195" s="56" t="str">
        <x:v>Fury Swipes</x:v>
      </x:c>
      <x:c r="D195" s="85" t="str">
        <x:v>ノーマル</x:v>
      </x:c>
      <x:c r="E195" s="86" t="n">
        <x:v>18</x:v>
      </x:c>
      <x:c r="F195" s="85" t="str">
        <x:v>物理</x:v>
      </x:c>
      <x:c r="G195" s="85" t="str">
        <x:v>単体対象</x:v>
      </x:c>
      <x:c r="H195" s="87" t="b">
        <x:v>1</x:v>
      </x:c>
      <x:c r="I195" s="88"/>
      <x:c r="J195" s="89"/>
      <x:c r="K195" s="88"/>
      <x:c r="L195" s="90" t="n">
        <x:v>0</x:v>
      </x:c>
      <x:c r="M195" s="88"/>
      <x:c r="N195" s="91" t="n">
        <x:v>99</x:v>
      </x:c>
      <x:c r="O195" s="92" t="b">
        <x:v>0</x:v>
      </x:c>
      <x:c r="P195" s="88"/>
    </x:row>
    <x:row r="196">
      <x:c r="A196" s="56" t="str">
        <x:v>fusion-bolt</x:v>
      </x:c>
      <x:c r="B196" s="56" t="str">
        <x:v>クロスサンダー</x:v>
      </x:c>
      <x:c r="C196" s="56" t="str">
        <x:v>Fusion Bolt</x:v>
      </x:c>
      <x:c r="D196" s="85" t="str">
        <x:v>でんき</x:v>
      </x:c>
      <x:c r="E196" s="86" t="n">
        <x:v>100</x:v>
      </x:c>
      <x:c r="F196" s="85" t="str">
        <x:v>物理</x:v>
      </x:c>
      <x:c r="G196" s="85" t="str">
        <x:v>単体対象</x:v>
      </x:c>
      <x:c r="H196" s="87" t="b">
        <x:v>1</x:v>
      </x:c>
      <x:c r="I196" s="88"/>
      <x:c r="J196" s="89"/>
      <x:c r="K196" s="88"/>
      <x:c r="L196" s="90" t="n">
        <x:v>0</x:v>
      </x:c>
      <x:c r="M196" s="88"/>
      <x:c r="N196" s="91" t="n">
        <x:v>2</x:v>
      </x:c>
      <x:c r="O196" s="92" t="b">
        <x:v>0</x:v>
      </x:c>
      <x:c r="P196" s="88"/>
    </x:row>
    <x:row r="197">
      <x:c r="A197" s="56" t="str">
        <x:v>fusion-flare</x:v>
      </x:c>
      <x:c r="B197" s="56" t="str">
        <x:v>クロスフレイム</x:v>
      </x:c>
      <x:c r="C197" s="56" t="str">
        <x:v>Fusion Flare</x:v>
      </x:c>
      <x:c r="D197" s="85" t="str">
        <x:v>ほのお</x:v>
      </x:c>
      <x:c r="E197" s="86" t="n">
        <x:v>100</x:v>
      </x:c>
      <x:c r="F197" s="85" t="str">
        <x:v>特殊</x:v>
      </x:c>
      <x:c r="G197" s="85" t="str">
        <x:v>単体対象</x:v>
      </x:c>
      <x:c r="H197" s="87" t="b">
        <x:v>1</x:v>
      </x:c>
      <x:c r="I197" s="88"/>
      <x:c r="J197" s="89"/>
      <x:c r="K197" s="88"/>
      <x:c r="L197" s="90" t="n">
        <x:v>0</x:v>
      </x:c>
      <x:c r="M197" s="88"/>
      <x:c r="N197" s="91" t="n">
        <x:v>2</x:v>
      </x:c>
      <x:c r="O197" s="92" t="b">
        <x:v>0</x:v>
      </x:c>
      <x:c r="P197" s="88"/>
    </x:row>
    <x:row r="198">
      <x:c r="A198" s="56" t="str">
        <x:v>future-sight</x:v>
      </x:c>
      <x:c r="B198" s="56" t="str">
        <x:v>みらいよち</x:v>
      </x:c>
      <x:c r="C198" s="56" t="str">
        <x:v>Future Sight</x:v>
      </x:c>
      <x:c r="D198" s="85" t="str">
        <x:v>エスパー</x:v>
      </x:c>
      <x:c r="E198" s="86" t="n">
        <x:v>120</x:v>
      </x:c>
      <x:c r="F198" s="85" t="str">
        <x:v>特殊</x:v>
      </x:c>
      <x:c r="G198" s="85" t="str">
        <x:v>単体対象</x:v>
      </x:c>
      <x:c r="H198" s="87" t="b">
        <x:v>1</x:v>
      </x:c>
      <x:c r="I198" s="88"/>
      <x:c r="J198" s="89"/>
      <x:c r="K198" s="88"/>
      <x:c r="L198" s="90" t="n">
        <x:v>0</x:v>
      </x:c>
      <x:c r="M198" s="88"/>
      <x:c r="N198" s="91" t="n">
        <x:v>136</x:v>
      </x:c>
      <x:c r="O198" s="92" t="b">
        <x:v>0</x:v>
      </x:c>
      <x:c r="P198" s="88"/>
    </x:row>
    <x:row r="199">
      <x:c r="A199" s="56" t="str">
        <x:v>gear-grind</x:v>
      </x:c>
      <x:c r="B199" s="56" t="str">
        <x:v>ギアソーサー</x:v>
      </x:c>
      <x:c r="C199" s="56" t="str">
        <x:v>Gear Grind</x:v>
      </x:c>
      <x:c r="D199" s="85" t="str">
        <x:v>はがね</x:v>
      </x:c>
      <x:c r="E199" s="86" t="n">
        <x:v>50</x:v>
      </x:c>
      <x:c r="F199" s="85" t="str">
        <x:v>物理</x:v>
      </x:c>
      <x:c r="G199" s="85" t="str">
        <x:v>単体対象</x:v>
      </x:c>
      <x:c r="H199" s="87" t="b">
        <x:v>1</x:v>
      </x:c>
      <x:c r="I199" s="88"/>
      <x:c r="J199" s="89"/>
      <x:c r="K199" s="88"/>
      <x:c r="L199" s="90" t="n">
        <x:v>0</x:v>
      </x:c>
      <x:c r="M199" s="88"/>
      <x:c r="N199" s="91" t="n">
        <x:v>3</x:v>
      </x:c>
      <x:c r="O199" s="92" t="b">
        <x:v>0</x:v>
      </x:c>
      <x:c r="P199" s="88"/>
    </x:row>
    <x:row r="200">
      <x:c r="A200" s="56" t="str">
        <x:v>giga-drain</x:v>
      </x:c>
      <x:c r="B200" s="56" t="str">
        <x:v>ギガドレイン</x:v>
      </x:c>
      <x:c r="C200" s="56" t="str">
        <x:v>Giga Drain</x:v>
      </x:c>
      <x:c r="D200" s="85" t="str">
        <x:v>くさ</x:v>
      </x:c>
      <x:c r="E200" s="86" t="n">
        <x:v>75</x:v>
      </x:c>
      <x:c r="F200" s="85" t="str">
        <x:v>特殊</x:v>
      </x:c>
      <x:c r="G200" s="85" t="str">
        <x:v>単体対象</x:v>
      </x:c>
      <x:c r="H200" s="87" t="b">
        <x:v>1</x:v>
      </x:c>
      <x:c r="I200" s="88"/>
      <x:c r="J200" s="89"/>
      <x:c r="K200" s="88"/>
      <x:c r="L200" s="90" t="n">
        <x:v>0</x:v>
      </x:c>
      <x:c r="M200" s="88"/>
      <x:c r="N200" s="91" t="n">
        <x:v>262</x:v>
      </x:c>
      <x:c r="O200" s="92" t="b">
        <x:v>0</x:v>
      </x:c>
      <x:c r="P200" s="88"/>
    </x:row>
    <x:row r="201">
      <x:c r="A201" s="56" t="str">
        <x:v>giga-impact</x:v>
      </x:c>
      <x:c r="B201" s="56" t="str">
        <x:v>ギガインパクト</x:v>
      </x:c>
      <x:c r="C201" s="56" t="str">
        <x:v>Giga Impact</x:v>
      </x:c>
      <x:c r="D201" s="85" t="str">
        <x:v>ノーマル</x:v>
      </x:c>
      <x:c r="E201" s="86" t="n">
        <x:v>150</x:v>
      </x:c>
      <x:c r="F201" s="85" t="str">
        <x:v>物理</x:v>
      </x:c>
      <x:c r="G201" s="85" t="str">
        <x:v>単体対象</x:v>
      </x:c>
      <x:c r="H201" s="87" t="b">
        <x:v>1</x:v>
      </x:c>
      <x:c r="I201" s="88"/>
      <x:c r="J201" s="89"/>
      <x:c r="K201" s="88"/>
      <x:c r="L201" s="90" t="n">
        <x:v>0</x:v>
      </x:c>
      <x:c r="M201" s="88"/>
      <x:c r="N201" s="91" t="n">
        <x:v>783</x:v>
      </x:c>
      <x:c r="O201" s="92" t="b">
        <x:v>0</x:v>
      </x:c>
      <x:c r="P201" s="88"/>
    </x:row>
    <x:row r="202">
      <x:c r="A202" s="56" t="str">
        <x:v>gigaton-hammer</x:v>
      </x:c>
      <x:c r="B202" s="56" t="str">
        <x:v>デカハンマー</x:v>
      </x:c>
      <x:c r="C202" s="56" t="str">
        <x:v>Gigaton Hammer</x:v>
      </x:c>
      <x:c r="D202" s="85" t="str">
        <x:v>はがね</x:v>
      </x:c>
      <x:c r="E202" s="86" t="n">
        <x:v>160</x:v>
      </x:c>
      <x:c r="F202" s="85" t="str">
        <x:v>物理</x:v>
      </x:c>
      <x:c r="G202" s="85" t="str">
        <x:v>単体対象</x:v>
      </x:c>
      <x:c r="H202" s="87" t="b">
        <x:v>1</x:v>
      </x:c>
      <x:c r="I202" s="88"/>
      <x:c r="J202" s="89"/>
      <x:c r="K202" s="88"/>
      <x:c r="L202" s="90" t="n">
        <x:v>0</x:v>
      </x:c>
      <x:c r="M202" s="88"/>
      <x:c r="N202" s="91" t="n">
        <x:v>1</x:v>
      </x:c>
      <x:c r="O202" s="92" t="b">
        <x:v>0</x:v>
      </x:c>
      <x:c r="P202" s="88"/>
    </x:row>
    <x:row r="203">
      <x:c r="A203" s="56" t="str">
        <x:v>glacial-lance</x:v>
      </x:c>
      <x:c r="B203" s="56" t="str">
        <x:v>ブリザードランス</x:v>
      </x:c>
      <x:c r="C203" s="56" t="str">
        <x:v>Glacial Lance</x:v>
      </x:c>
      <x:c r="D203" s="85" t="str">
        <x:v>こおり</x:v>
      </x:c>
      <x:c r="E203" s="86" t="n">
        <x:v>120</x:v>
      </x:c>
      <x:c r="F203" s="85" t="str">
        <x:v>物理</x:v>
      </x:c>
      <x:c r="G203" s="85" t="str">
        <x:v>複数対象</x:v>
      </x:c>
      <x:c r="H203" s="87" t="b">
        <x:v>1</x:v>
      </x:c>
      <x:c r="I203" s="88"/>
      <x:c r="J203" s="89"/>
      <x:c r="K203" s="88"/>
      <x:c r="L203" s="90" t="n">
        <x:v>0</x:v>
      </x:c>
      <x:c r="M203" s="88"/>
      <x:c r="N203" s="91" t="n">
        <x:v>1</x:v>
      </x:c>
      <x:c r="O203" s="92" t="b">
        <x:v>1</x:v>
      </x:c>
      <x:c r="P203" s="88"/>
    </x:row>
    <x:row r="204">
      <x:c r="A204" s="56" t="str">
        <x:v>glaciate</x:v>
      </x:c>
      <x:c r="B204" s="56" t="str">
        <x:v>こごえるせかい</x:v>
      </x:c>
      <x:c r="C204" s="56" t="str">
        <x:v>Glaciate</x:v>
      </x:c>
      <x:c r="D204" s="85" t="str">
        <x:v>こおり</x:v>
      </x:c>
      <x:c r="E204" s="86" t="n">
        <x:v>65</x:v>
      </x:c>
      <x:c r="F204" s="85" t="str">
        <x:v>特殊</x:v>
      </x:c>
      <x:c r="G204" s="85" t="str">
        <x:v>複数対象</x:v>
      </x:c>
      <x:c r="H204" s="87" t="b">
        <x:v>1</x:v>
      </x:c>
      <x:c r="I204" s="88"/>
      <x:c r="J204" s="89"/>
      <x:c r="K204" s="88"/>
      <x:c r="L204" s="90" t="n">
        <x:v>0</x:v>
      </x:c>
      <x:c r="M204" s="88"/>
      <x:c r="N204" s="91" t="n">
        <x:v>1</x:v>
      </x:c>
      <x:c r="O204" s="92" t="b">
        <x:v>1</x:v>
      </x:c>
      <x:c r="P204" s="88"/>
    </x:row>
    <x:row r="205">
      <x:c r="A205" s="56" t="str">
        <x:v>glaive-rush</x:v>
      </x:c>
      <x:c r="B205" s="56" t="str">
        <x:v>きょけんとつげき</x:v>
      </x:c>
      <x:c r="C205" s="56" t="str">
        <x:v>Glaive Rush</x:v>
      </x:c>
      <x:c r="D205" s="85" t="str">
        <x:v>ドラゴン</x:v>
      </x:c>
      <x:c r="E205" s="86" t="n">
        <x:v>120</x:v>
      </x:c>
      <x:c r="F205" s="85" t="str">
        <x:v>物理</x:v>
      </x:c>
      <x:c r="G205" s="85" t="str">
        <x:v>単体対象</x:v>
      </x:c>
      <x:c r="H205" s="87" t="b">
        <x:v>1</x:v>
      </x:c>
      <x:c r="I205" s="88"/>
      <x:c r="J205" s="89"/>
      <x:c r="K205" s="88"/>
      <x:c r="L205" s="90" t="n">
        <x:v>0</x:v>
      </x:c>
      <x:c r="M205" s="88"/>
      <x:c r="N205" s="91" t="n">
        <x:v>1</x:v>
      </x:c>
      <x:c r="O205" s="92" t="b">
        <x:v>0</x:v>
      </x:c>
      <x:c r="P205" s="88"/>
    </x:row>
    <x:row r="206">
      <x:c r="A206" s="56" t="str">
        <x:v>glitzy-glow</x:v>
      </x:c>
      <x:c r="B206" s="56" t="str">
        <x:v>どばどばオーラ</x:v>
      </x:c>
      <x:c r="C206" s="56" t="str">
        <x:v>Glitzy Glow</x:v>
      </x:c>
      <x:c r="D206" s="85" t="str">
        <x:v>エスパー</x:v>
      </x:c>
      <x:c r="E206" s="86" t="n">
        <x:v>80</x:v>
      </x:c>
      <x:c r="F206" s="85" t="str">
        <x:v>特殊</x:v>
      </x:c>
      <x:c r="G206" s="85" t="str">
        <x:v>単体対象</x:v>
      </x:c>
      <x:c r="H206" s="87" t="b">
        <x:v>1</x:v>
      </x:c>
      <x:c r="I206" s="88"/>
      <x:c r="J206" s="89"/>
      <x:c r="K206" s="88"/>
      <x:c r="L206" s="90" t="n">
        <x:v>0</x:v>
      </x:c>
      <x:c r="M206" s="88"/>
      <x:c r="N206" s="91" t="n">
        <x:v>1</x:v>
      </x:c>
      <x:c r="O206" s="92" t="b">
        <x:v>0</x:v>
      </x:c>
      <x:c r="P206" s="88"/>
    </x:row>
    <x:row r="207">
      <x:c r="A207" s="56" t="str">
        <x:v>grass-pledge</x:v>
      </x:c>
      <x:c r="B207" s="56" t="str">
        <x:v>くさのちかい</x:v>
      </x:c>
      <x:c r="C207" s="56" t="str">
        <x:v>Grass Pledge</x:v>
      </x:c>
      <x:c r="D207" s="85" t="str">
        <x:v>くさ</x:v>
      </x:c>
      <x:c r="E207" s="86" t="n">
        <x:v>80</x:v>
      </x:c>
      <x:c r="F207" s="85" t="str">
        <x:v>特殊</x:v>
      </x:c>
      <x:c r="G207" s="85" t="str">
        <x:v>単体対象</x:v>
      </x:c>
      <x:c r="H207" s="87" t="b">
        <x:v>1</x:v>
      </x:c>
      <x:c r="I207" s="88"/>
      <x:c r="J207" s="89"/>
      <x:c r="K207" s="88"/>
      <x:c r="L207" s="90" t="n">
        <x:v>0</x:v>
      </x:c>
      <x:c r="M207" s="88"/>
      <x:c r="N207" s="91" t="n">
        <x:v>34</x:v>
      </x:c>
      <x:c r="O207" s="92" t="b">
        <x:v>0</x:v>
      </x:c>
      <x:c r="P207" s="88"/>
    </x:row>
    <x:row r="208">
      <x:c r="A208" s="56" t="str">
        <x:v>grassy-glide</x:v>
      </x:c>
      <x:c r="B208" s="56" t="str">
        <x:v>グラススライダー</x:v>
      </x:c>
      <x:c r="C208" s="56" t="str">
        <x:v>Grassy Glide</x:v>
      </x:c>
      <x:c r="D208" s="85" t="str">
        <x:v>くさ</x:v>
      </x:c>
      <x:c r="E208" s="86" t="n">
        <x:v>55</x:v>
      </x:c>
      <x:c r="F208" s="85" t="str">
        <x:v>物理</x:v>
      </x:c>
      <x:c r="G208" s="85" t="str">
        <x:v>単体対象</x:v>
      </x:c>
      <x:c r="H208" s="87" t="b">
        <x:v>1</x:v>
      </x:c>
      <x:c r="I208" s="88"/>
      <x:c r="J208" s="89"/>
      <x:c r="K208" s="88"/>
      <x:c r="L208" s="90" t="n">
        <x:v>0</x:v>
      </x:c>
      <x:c r="M208" s="88"/>
      <x:c r="N208" s="91" t="n">
        <x:v>124</x:v>
      </x:c>
      <x:c r="O208" s="92" t="b">
        <x:v>0</x:v>
      </x:c>
      <x:c r="P208" s="88"/>
    </x:row>
    <x:row r="209">
      <x:c r="A209" s="56" t="str">
        <x:v>grav-apple</x:v>
      </x:c>
      <x:c r="B209" s="56" t="str">
        <x:v>Ｇのちから</x:v>
      </x:c>
      <x:c r="C209" s="56" t="str">
        <x:v>Grav Apple</x:v>
      </x:c>
      <x:c r="D209" s="85" t="str">
        <x:v>くさ</x:v>
      </x:c>
      <x:c r="E209" s="86" t="n">
        <x:v>80</x:v>
      </x:c>
      <x:c r="F209" s="85" t="str">
        <x:v>物理</x:v>
      </x:c>
      <x:c r="G209" s="85" t="str">
        <x:v>単体対象</x:v>
      </x:c>
      <x:c r="H209" s="87" t="b">
        <x:v>1</x:v>
      </x:c>
      <x:c r="I209" s="88"/>
      <x:c r="J209" s="89"/>
      <x:c r="K209" s="88"/>
      <x:c r="L209" s="90" t="n">
        <x:v>0</x:v>
      </x:c>
      <x:c r="M209" s="88"/>
      <x:c r="N209" s="91" t="n">
        <x:v>1</x:v>
      </x:c>
      <x:c r="O209" s="92" t="b">
        <x:v>0</x:v>
      </x:c>
      <x:c r="P209" s="88"/>
    </x:row>
    <x:row r="210">
      <x:c r="A210" s="56" t="str">
        <x:v>gunk-shot</x:v>
      </x:c>
      <x:c r="B210" s="56" t="str">
        <x:v>ダストシュート</x:v>
      </x:c>
      <x:c r="C210" s="56" t="str">
        <x:v>Gunk Shot</x:v>
      </x:c>
      <x:c r="D210" s="85" t="str">
        <x:v>どく</x:v>
      </x:c>
      <x:c r="E210" s="86" t="n">
        <x:v>120</x:v>
      </x:c>
      <x:c r="F210" s="85" t="str">
        <x:v>物理</x:v>
      </x:c>
      <x:c r="G210" s="85" t="str">
        <x:v>単体対象</x:v>
      </x:c>
      <x:c r="H210" s="87" t="b">
        <x:v>1</x:v>
      </x:c>
      <x:c r="I210" s="88"/>
      <x:c r="J210" s="89"/>
      <x:c r="K210" s="88"/>
      <x:c r="L210" s="90" t="n">
        <x:v>0</x:v>
      </x:c>
      <x:c r="M210" s="88"/>
      <x:c r="N210" s="91" t="n">
        <x:v>143</x:v>
      </x:c>
      <x:c r="O210" s="92" t="b">
        <x:v>0</x:v>
      </x:c>
      <x:c r="P210" s="88"/>
    </x:row>
    <x:row r="211">
      <x:c r="A211" s="56" t="str">
        <x:v>gust</x:v>
      </x:c>
      <x:c r="B211" s="56" t="str">
        <x:v>かぜおこし</x:v>
      </x:c>
      <x:c r="C211" s="56" t="str">
        <x:v>Gust</x:v>
      </x:c>
      <x:c r="D211" s="85" t="str">
        <x:v>ひこう</x:v>
      </x:c>
      <x:c r="E211" s="86" t="n">
        <x:v>40</x:v>
      </x:c>
      <x:c r="F211" s="85" t="str">
        <x:v>特殊</x:v>
      </x:c>
      <x:c r="G211" s="85" t="str">
        <x:v>単体対象</x:v>
      </x:c>
      <x:c r="H211" s="87" t="b">
        <x:v>1</x:v>
      </x:c>
      <x:c r="I211" s="88"/>
      <x:c r="J211" s="89"/>
      <x:c r="K211" s="88"/>
      <x:c r="L211" s="90" t="n">
        <x:v>0</x:v>
      </x:c>
      <x:c r="M211" s="88"/>
      <x:c r="N211" s="91" t="n">
        <x:v>67</x:v>
      </x:c>
      <x:c r="O211" s="92" t="b">
        <x:v>0</x:v>
      </x:c>
      <x:c r="P211" s="88"/>
    </x:row>
    <x:row r="212">
      <x:c r="A212" s="56" t="str">
        <x:v>hammer-arm</x:v>
      </x:c>
      <x:c r="B212" s="56" t="str">
        <x:v>アームハンマー</x:v>
      </x:c>
      <x:c r="C212" s="56" t="str">
        <x:v>Hammer Arm</x:v>
      </x:c>
      <x:c r="D212" s="85" t="str">
        <x:v>かくとう</x:v>
      </x:c>
      <x:c r="E212" s="86" t="n">
        <x:v>100</x:v>
      </x:c>
      <x:c r="F212" s="85" t="str">
        <x:v>物理</x:v>
      </x:c>
      <x:c r="G212" s="85" t="str">
        <x:v>単体対象</x:v>
      </x:c>
      <x:c r="H212" s="87" t="b">
        <x:v>1</x:v>
      </x:c>
      <x:c r="I212" s="88"/>
      <x:c r="J212" s="89"/>
      <x:c r="K212" s="88"/>
      <x:c r="L212" s="90" t="n">
        <x:v>0</x:v>
      </x:c>
      <x:c r="M212" s="88"/>
      <x:c r="N212" s="91" t="n">
        <x:v>69</x:v>
      </x:c>
      <x:c r="O212" s="92" t="b">
        <x:v>0</x:v>
      </x:c>
      <x:c r="P212" s="88"/>
    </x:row>
    <x:row r="213">
      <x:c r="A213" s="56" t="str">
        <x:v>head-charge</x:v>
      </x:c>
      <x:c r="B213" s="56" t="str">
        <x:v>アフロブレイク</x:v>
      </x:c>
      <x:c r="C213" s="56" t="str">
        <x:v>Head Charge</x:v>
      </x:c>
      <x:c r="D213" s="85" t="str">
        <x:v>ノーマル</x:v>
      </x:c>
      <x:c r="E213" s="86" t="n">
        <x:v>120</x:v>
      </x:c>
      <x:c r="F213" s="85" t="str">
        <x:v>物理</x:v>
      </x:c>
      <x:c r="G213" s="85" t="str">
        <x:v>単体対象</x:v>
      </x:c>
      <x:c r="H213" s="87" t="b">
        <x:v>1</x:v>
      </x:c>
      <x:c r="I213" s="88"/>
      <x:c r="J213" s="89"/>
      <x:c r="K213" s="88"/>
      <x:c r="L213" s="90" t="n">
        <x:v>0</x:v>
      </x:c>
      <x:c r="M213" s="88"/>
      <x:c r="N213" s="91" t="n">
        <x:v>1</x:v>
      </x:c>
      <x:c r="O213" s="92" t="b">
        <x:v>0</x:v>
      </x:c>
      <x:c r="P213" s="88"/>
    </x:row>
    <x:row r="214">
      <x:c r="A214" s="56" t="str">
        <x:v>head-smash</x:v>
      </x:c>
      <x:c r="B214" s="56" t="str">
        <x:v>もろはのずつき</x:v>
      </x:c>
      <x:c r="C214" s="56" t="str">
        <x:v>Head Smash</x:v>
      </x:c>
      <x:c r="D214" s="85" t="str">
        <x:v>いわ</x:v>
      </x:c>
      <x:c r="E214" s="86" t="n">
        <x:v>150</x:v>
      </x:c>
      <x:c r="F214" s="85" t="str">
        <x:v>物理</x:v>
      </x:c>
      <x:c r="G214" s="85" t="str">
        <x:v>単体対象</x:v>
      </x:c>
      <x:c r="H214" s="87" t="b">
        <x:v>1</x:v>
      </x:c>
      <x:c r="I214" s="88"/>
      <x:c r="J214" s="89"/>
      <x:c r="K214" s="88"/>
      <x:c r="L214" s="90" t="n">
        <x:v>0</x:v>
      </x:c>
      <x:c r="M214" s="88"/>
      <x:c r="N214" s="91" t="n">
        <x:v>42</x:v>
      </x:c>
      <x:c r="O214" s="92" t="b">
        <x:v>0</x:v>
      </x:c>
      <x:c r="P214" s="88"/>
    </x:row>
    <x:row r="215">
      <x:c r="A215" s="56" t="str">
        <x:v>headbutt</x:v>
      </x:c>
      <x:c r="B215" s="56" t="str">
        <x:v>ずつき</x:v>
      </x:c>
      <x:c r="C215" s="56" t="str">
        <x:v>Headbutt</x:v>
      </x:c>
      <x:c r="D215" s="85" t="str">
        <x:v>ノーマル</x:v>
      </x:c>
      <x:c r="E215" s="86" t="n">
        <x:v>70</x:v>
      </x:c>
      <x:c r="F215" s="85" t="str">
        <x:v>物理</x:v>
      </x:c>
      <x:c r="G215" s="85" t="str">
        <x:v>単体対象</x:v>
      </x:c>
      <x:c r="H215" s="87" t="b">
        <x:v>1</x:v>
      </x:c>
      <x:c r="I215" s="88"/>
      <x:c r="J215" s="89"/>
      <x:c r="K215" s="88"/>
      <x:c r="L215" s="90" t="n">
        <x:v>0</x:v>
      </x:c>
      <x:c r="M215" s="88"/>
      <x:c r="N215" s="91" t="n">
        <x:v>529</x:v>
      </x:c>
      <x:c r="O215" s="92" t="b">
        <x:v>0</x:v>
      </x:c>
      <x:c r="P215" s="88"/>
    </x:row>
    <x:row r="216">
      <x:c r="A216" s="56" t="str">
        <x:v>headlong-rush</x:v>
      </x:c>
      <x:c r="B216" s="56" t="str">
        <x:v>ぶちかまし</x:v>
      </x:c>
      <x:c r="C216" s="56" t="str">
        <x:v>Headlong Rush</x:v>
      </x:c>
      <x:c r="D216" s="85" t="str">
        <x:v>じめん</x:v>
      </x:c>
      <x:c r="E216" s="86" t="n">
        <x:v>120</x:v>
      </x:c>
      <x:c r="F216" s="85" t="str">
        <x:v>物理</x:v>
      </x:c>
      <x:c r="G216" s="85" t="str">
        <x:v>単体対象</x:v>
      </x:c>
      <x:c r="H216" s="87" t="b">
        <x:v>1</x:v>
      </x:c>
      <x:c r="I216" s="88"/>
      <x:c r="J216" s="89"/>
      <x:c r="K216" s="88"/>
      <x:c r="L216" s="90" t="n">
        <x:v>0</x:v>
      </x:c>
      <x:c r="M216" s="88"/>
      <x:c r="N216" s="91" t="n">
        <x:v>8</x:v>
      </x:c>
      <x:c r="O216" s="92" t="b">
        <x:v>0</x:v>
      </x:c>
      <x:c r="P216" s="88"/>
    </x:row>
    <x:row r="217">
      <x:c r="A217" s="56" t="str">
        <x:v>heart-stamp</x:v>
      </x:c>
      <x:c r="B217" s="56" t="str">
        <x:v>ハートスタンプ</x:v>
      </x:c>
      <x:c r="C217" s="56" t="str">
        <x:v>Heart Stamp</x:v>
      </x:c>
      <x:c r="D217" s="85" t="str">
        <x:v>エスパー</x:v>
      </x:c>
      <x:c r="E217" s="86" t="n">
        <x:v>60</x:v>
      </x:c>
      <x:c r="F217" s="85" t="str">
        <x:v>物理</x:v>
      </x:c>
      <x:c r="G217" s="85" t="str">
        <x:v>単体対象</x:v>
      </x:c>
      <x:c r="H217" s="87" t="b">
        <x:v>1</x:v>
      </x:c>
      <x:c r="I217" s="88"/>
      <x:c r="J217" s="89"/>
      <x:c r="K217" s="88"/>
      <x:c r="L217" s="90" t="n">
        <x:v>0</x:v>
      </x:c>
      <x:c r="M217" s="88"/>
      <x:c r="N217" s="91" t="n">
        <x:v>6</x:v>
      </x:c>
      <x:c r="O217" s="92" t="b">
        <x:v>0</x:v>
      </x:c>
      <x:c r="P217" s="88"/>
    </x:row>
    <x:row r="218">
      <x:c r="A218" s="56" t="str">
        <x:v>heat-wave</x:v>
      </x:c>
      <x:c r="B218" s="56" t="str">
        <x:v>ねっぷう</x:v>
      </x:c>
      <x:c r="C218" s="56" t="str">
        <x:v>Heat Wave</x:v>
      </x:c>
      <x:c r="D218" s="85" t="str">
        <x:v>ほのお</x:v>
      </x:c>
      <x:c r="E218" s="86" t="n">
        <x:v>95</x:v>
      </x:c>
      <x:c r="F218" s="85" t="str">
        <x:v>特殊</x:v>
      </x:c>
      <x:c r="G218" s="85" t="str">
        <x:v>複数対象</x:v>
      </x:c>
      <x:c r="H218" s="87" t="b">
        <x:v>1</x:v>
      </x:c>
      <x:c r="I218" s="88"/>
      <x:c r="J218" s="89"/>
      <x:c r="K218" s="88"/>
      <x:c r="L218" s="90" t="n">
        <x:v>0</x:v>
      </x:c>
      <x:c r="M218" s="88"/>
      <x:c r="N218" s="91" t="n">
        <x:v>188</x:v>
      </x:c>
      <x:c r="O218" s="92" t="b">
        <x:v>1</x:v>
      </x:c>
      <x:c r="P218" s="88"/>
    </x:row>
    <x:row r="219">
      <x:c r="A219" s="56" t="str">
        <x:v>hex</x:v>
      </x:c>
      <x:c r="B219" s="56" t="str">
        <x:v>たたりめ</x:v>
      </x:c>
      <x:c r="C219" s="56" t="str">
        <x:v>Hex</x:v>
      </x:c>
      <x:c r="D219" s="85" t="str">
        <x:v>ゴースト</x:v>
      </x:c>
      <x:c r="E219" s="86" t="n">
        <x:v>65</x:v>
      </x:c>
      <x:c r="F219" s="85" t="str">
        <x:v>特殊</x:v>
      </x:c>
      <x:c r="G219" s="85" t="str">
        <x:v>単体対象</x:v>
      </x:c>
      <x:c r="H219" s="87" t="b">
        <x:v>1</x:v>
      </x:c>
      <x:c r="I219" s="88"/>
      <x:c r="J219" s="89"/>
      <x:c r="K219" s="88"/>
      <x:c r="L219" s="90" t="n">
        <x:v>0</x:v>
      </x:c>
      <x:c r="M219" s="88"/>
      <x:c r="N219" s="91" t="n">
        <x:v>162</x:v>
      </x:c>
      <x:c r="O219" s="92" t="b">
        <x:v>0</x:v>
      </x:c>
      <x:c r="P219" s="88"/>
    </x:row>
    <x:row r="220">
      <x:c r="A220" s="56" t="str">
        <x:v>hidden-power</x:v>
      </x:c>
      <x:c r="B220" s="56" t="str">
        <x:v>めざめるパワー</x:v>
      </x:c>
      <x:c r="C220" s="56" t="str">
        <x:v>Hidden Power</x:v>
      </x:c>
      <x:c r="D220" s="85" t="str">
        <x:v>ノーマル</x:v>
      </x:c>
      <x:c r="E220" s="86" t="n">
        <x:v>60</x:v>
      </x:c>
      <x:c r="F220" s="85" t="str">
        <x:v>特殊</x:v>
      </x:c>
      <x:c r="G220" s="85" t="str">
        <x:v>単体対象</x:v>
      </x:c>
      <x:c r="H220" s="87" t="b">
        <x:v>1</x:v>
      </x:c>
      <x:c r="I220" s="88"/>
      <x:c r="J220" s="89"/>
      <x:c r="K220" s="88"/>
      <x:c r="L220" s="90" t="n">
        <x:v>0</x:v>
      </x:c>
      <x:c r="M220" s="88"/>
      <x:c r="N220" s="91" t="n">
        <x:v>944</x:v>
      </x:c>
      <x:c r="O220" s="92" t="b">
        <x:v>0</x:v>
      </x:c>
      <x:c r="P220" s="88"/>
    </x:row>
    <x:row r="221">
      <x:c r="A221" s="56" t="str">
        <x:v>high-horsepower</x:v>
      </x:c>
      <x:c r="B221" s="56" t="str">
        <x:v>１０まんばりき</x:v>
      </x:c>
      <x:c r="C221" s="56" t="str">
        <x:v>High Horsepower</x:v>
      </x:c>
      <x:c r="D221" s="85" t="str">
        <x:v>じめん</x:v>
      </x:c>
      <x:c r="E221" s="86" t="n">
        <x:v>95</x:v>
      </x:c>
      <x:c r="F221" s="85" t="str">
        <x:v>物理</x:v>
      </x:c>
      <x:c r="G221" s="85" t="str">
        <x:v>単体対象</x:v>
      </x:c>
      <x:c r="H221" s="87" t="b">
        <x:v>1</x:v>
      </x:c>
      <x:c r="I221" s="88"/>
      <x:c r="J221" s="89"/>
      <x:c r="K221" s="88"/>
      <x:c r="L221" s="90" t="n">
        <x:v>0</x:v>
      </x:c>
      <x:c r="M221" s="88"/>
      <x:c r="N221" s="91" t="n">
        <x:v>136</x:v>
      </x:c>
      <x:c r="O221" s="92" t="b">
        <x:v>0</x:v>
      </x:c>
      <x:c r="P221" s="88"/>
    </x:row>
    <x:row r="222">
      <x:c r="A222" s="56" t="str">
        <x:v>high-jump-kick</x:v>
      </x:c>
      <x:c r="B222" s="56" t="str">
        <x:v>とびひざげり</x:v>
      </x:c>
      <x:c r="C222" s="56" t="str">
        <x:v>High Jump Kick</x:v>
      </x:c>
      <x:c r="D222" s="85" t="str">
        <x:v>かくとう</x:v>
      </x:c>
      <x:c r="E222" s="86" t="n">
        <x:v>130</x:v>
      </x:c>
      <x:c r="F222" s="85" t="str">
        <x:v>物理</x:v>
      </x:c>
      <x:c r="G222" s="85" t="str">
        <x:v>単体対象</x:v>
      </x:c>
      <x:c r="H222" s="87" t="b">
        <x:v>1</x:v>
      </x:c>
      <x:c r="I222" s="88"/>
      <x:c r="J222" s="89"/>
      <x:c r="K222" s="88"/>
      <x:c r="L222" s="90" t="n">
        <x:v>0</x:v>
      </x:c>
      <x:c r="M222" s="88"/>
      <x:c r="N222" s="91" t="n">
        <x:v>25</x:v>
      </x:c>
      <x:c r="O222" s="92" t="b">
        <x:v>0</x:v>
      </x:c>
      <x:c r="P222" s="88"/>
    </x:row>
    <x:row r="223">
      <x:c r="A223" s="56" t="str">
        <x:v>horn-attack</x:v>
      </x:c>
      <x:c r="B223" s="56" t="str">
        <x:v>つのでつく</x:v>
      </x:c>
      <x:c r="C223" s="56" t="str">
        <x:v>Horn Attack</x:v>
      </x:c>
      <x:c r="D223" s="85" t="str">
        <x:v>ノーマル</x:v>
      </x:c>
      <x:c r="E223" s="86" t="n">
        <x:v>65</x:v>
      </x:c>
      <x:c r="F223" s="85" t="str">
        <x:v>物理</x:v>
      </x:c>
      <x:c r="G223" s="85" t="str">
        <x:v>単体対象</x:v>
      </x:c>
      <x:c r="H223" s="87" t="b">
        <x:v>1</x:v>
      </x:c>
      <x:c r="I223" s="88"/>
      <x:c r="J223" s="89"/>
      <x:c r="K223" s="88"/>
      <x:c r="L223" s="90" t="n">
        <x:v>0</x:v>
      </x:c>
      <x:c r="M223" s="88"/>
      <x:c r="N223" s="91" t="n">
        <x:v>21</x:v>
      </x:c>
      <x:c r="O223" s="92" t="b">
        <x:v>0</x:v>
      </x:c>
      <x:c r="P223" s="88"/>
    </x:row>
    <x:row r="224">
      <x:c r="A224" s="56" t="str">
        <x:v>horn-leech</x:v>
      </x:c>
      <x:c r="B224" s="56" t="str">
        <x:v>ウッドホーン</x:v>
      </x:c>
      <x:c r="C224" s="56" t="str">
        <x:v>Horn Leech</x:v>
      </x:c>
      <x:c r="D224" s="85" t="str">
        <x:v>くさ</x:v>
      </x:c>
      <x:c r="E224" s="86" t="n">
        <x:v>75</x:v>
      </x:c>
      <x:c r="F224" s="85" t="str">
        <x:v>物理</x:v>
      </x:c>
      <x:c r="G224" s="85" t="str">
        <x:v>単体対象</x:v>
      </x:c>
      <x:c r="H224" s="87" t="b">
        <x:v>1</x:v>
      </x:c>
      <x:c r="I224" s="88"/>
      <x:c r="J224" s="89"/>
      <x:c r="K224" s="88"/>
      <x:c r="L224" s="90" t="n">
        <x:v>0</x:v>
      </x:c>
      <x:c r="M224" s="88"/>
      <x:c r="N224" s="91" t="n">
        <x:v>11</x:v>
      </x:c>
      <x:c r="O224" s="92" t="b">
        <x:v>0</x:v>
      </x:c>
      <x:c r="P224" s="88"/>
    </x:row>
    <x:row r="225">
      <x:c r="A225" s="56" t="str">
        <x:v>hurricane</x:v>
      </x:c>
      <x:c r="B225" s="56" t="str">
        <x:v>ぼうふう</x:v>
      </x:c>
      <x:c r="C225" s="56" t="str">
        <x:v>Hurricane</x:v>
      </x:c>
      <x:c r="D225" s="85" t="str">
        <x:v>ひこう</x:v>
      </x:c>
      <x:c r="E225" s="86" t="n">
        <x:v>110</x:v>
      </x:c>
      <x:c r="F225" s="85" t="str">
        <x:v>特殊</x:v>
      </x:c>
      <x:c r="G225" s="85" t="str">
        <x:v>単体対象</x:v>
      </x:c>
      <x:c r="H225" s="87" t="b">
        <x:v>1</x:v>
      </x:c>
      <x:c r="I225" s="88"/>
      <x:c r="J225" s="89"/>
      <x:c r="K225" s="88"/>
      <x:c r="L225" s="90" t="n">
        <x:v>0</x:v>
      </x:c>
      <x:c r="M225" s="88"/>
      <x:c r="N225" s="91" t="n">
        <x:v>105</x:v>
      </x:c>
      <x:c r="O225" s="92" t="b">
        <x:v>0</x:v>
      </x:c>
      <x:c r="P225" s="88"/>
    </x:row>
    <x:row r="226">
      <x:c r="A226" s="56" t="str">
        <x:v>hydro-cannon</x:v>
      </x:c>
      <x:c r="B226" s="56" t="str">
        <x:v>ハイドロカノン</x:v>
      </x:c>
      <x:c r="C226" s="56" t="str">
        <x:v>Hydro Cannon</x:v>
      </x:c>
      <x:c r="D226" s="85" t="str">
        <x:v>みず</x:v>
      </x:c>
      <x:c r="E226" s="86" t="n">
        <x:v>150</x:v>
      </x:c>
      <x:c r="F226" s="85" t="str">
        <x:v>特殊</x:v>
      </x:c>
      <x:c r="G226" s="85" t="str">
        <x:v>単体対象</x:v>
      </x:c>
      <x:c r="H226" s="87" t="b">
        <x:v>1</x:v>
      </x:c>
      <x:c r="I226" s="88"/>
      <x:c r="J226" s="89"/>
      <x:c r="K226" s="88"/>
      <x:c r="L226" s="90" t="n">
        <x:v>0</x:v>
      </x:c>
      <x:c r="M226" s="88"/>
      <x:c r="N226" s="91" t="n">
        <x:v>17</x:v>
      </x:c>
      <x:c r="O226" s="92" t="b">
        <x:v>0</x:v>
      </x:c>
      <x:c r="P226" s="88"/>
    </x:row>
    <x:row r="227">
      <x:c r="A227" s="56" t="str">
        <x:v>hydro-pump</x:v>
      </x:c>
      <x:c r="B227" s="56" t="str">
        <x:v>ハイドロポンプ</x:v>
      </x:c>
      <x:c r="C227" s="56" t="str">
        <x:v>Hydro Pump</x:v>
      </x:c>
      <x:c r="D227" s="85" t="str">
        <x:v>みず</x:v>
      </x:c>
      <x:c r="E227" s="86" t="n">
        <x:v>110</x:v>
      </x:c>
      <x:c r="F227" s="85" t="str">
        <x:v>特殊</x:v>
      </x:c>
      <x:c r="G227" s="85" t="str">
        <x:v>単体対象</x:v>
      </x:c>
      <x:c r="H227" s="87" t="b">
        <x:v>1</x:v>
      </x:c>
      <x:c r="I227" s="88"/>
      <x:c r="J227" s="89"/>
      <x:c r="K227" s="88"/>
      <x:c r="L227" s="90" t="n">
        <x:v>0</x:v>
      </x:c>
      <x:c r="M227" s="88"/>
      <x:c r="N227" s="91" t="n">
        <x:v>223</x:v>
      </x:c>
      <x:c r="O227" s="92" t="b">
        <x:v>0</x:v>
      </x:c>
      <x:c r="P227" s="88"/>
    </x:row>
    <x:row r="228">
      <x:c r="A228" s="56" t="str">
        <x:v>hydro-steam</x:v>
      </x:c>
      <x:c r="B228" s="56" t="str">
        <x:v>ハイドロスチーム</x:v>
      </x:c>
      <x:c r="C228" s="56" t="str">
        <x:v>Hydro Steam</x:v>
      </x:c>
      <x:c r="D228" s="85" t="str">
        <x:v>みず</x:v>
      </x:c>
      <x:c r="E228" s="86" t="n">
        <x:v>80</x:v>
      </x:c>
      <x:c r="F228" s="85" t="str">
        <x:v>特殊</x:v>
      </x:c>
      <x:c r="G228" s="85" t="str">
        <x:v>単体対象</x:v>
      </x:c>
      <x:c r="H228" s="87" t="b">
        <x:v>1</x:v>
      </x:c>
      <x:c r="I228" s="88"/>
      <x:c r="J228" s="89"/>
      <x:c r="K228" s="88"/>
      <x:c r="L228" s="90" t="n">
        <x:v>0</x:v>
      </x:c>
      <x:c r="M228" s="88"/>
      <x:c r="N228" s="91" t="n">
        <x:v>1</x:v>
      </x:c>
      <x:c r="O228" s="92" t="b">
        <x:v>0</x:v>
      </x:c>
      <x:c r="P228" s="88"/>
    </x:row>
    <x:row r="229">
      <x:c r="A229" s="56" t="str">
        <x:v>hyper-beam</x:v>
      </x:c>
      <x:c r="B229" s="56" t="str">
        <x:v>はかいこうせん</x:v>
      </x:c>
      <x:c r="C229" s="56" t="str">
        <x:v>Hyper Beam</x:v>
      </x:c>
      <x:c r="D229" s="85" t="str">
        <x:v>ノーマル</x:v>
      </x:c>
      <x:c r="E229" s="86" t="n">
        <x:v>150</x:v>
      </x:c>
      <x:c r="F229" s="85" t="str">
        <x:v>特殊</x:v>
      </x:c>
      <x:c r="G229" s="85" t="str">
        <x:v>単体対象</x:v>
      </x:c>
      <x:c r="H229" s="87" t="b">
        <x:v>1</x:v>
      </x:c>
      <x:c r="I229" s="88"/>
      <x:c r="J229" s="89"/>
      <x:c r="K229" s="88"/>
      <x:c r="L229" s="90" t="n">
        <x:v>0</x:v>
      </x:c>
      <x:c r="M229" s="88"/>
      <x:c r="N229" s="91" t="n">
        <x:v>761</x:v>
      </x:c>
      <x:c r="O229" s="92" t="b">
        <x:v>0</x:v>
      </x:c>
      <x:c r="P229" s="88"/>
    </x:row>
    <x:row r="230">
      <x:c r="A230" s="56" t="str">
        <x:v>hyper-drill</x:v>
      </x:c>
      <x:c r="B230" s="56" t="str">
        <x:v>ハイパードリル</x:v>
      </x:c>
      <x:c r="C230" s="56" t="str">
        <x:v>Hyper Drill</x:v>
      </x:c>
      <x:c r="D230" s="85" t="str">
        <x:v>ノーマル</x:v>
      </x:c>
      <x:c r="E230" s="86" t="n">
        <x:v>100</x:v>
      </x:c>
      <x:c r="F230" s="85" t="str">
        <x:v>物理</x:v>
      </x:c>
      <x:c r="G230" s="85" t="str">
        <x:v>単体対象</x:v>
      </x:c>
      <x:c r="H230" s="87" t="b">
        <x:v>1</x:v>
      </x:c>
      <x:c r="I230" s="88"/>
      <x:c r="J230" s="89"/>
      <x:c r="K230" s="88"/>
      <x:c r="L230" s="90" t="n">
        <x:v>0</x:v>
      </x:c>
      <x:c r="M230" s="88"/>
      <x:c r="N230" s="91" t="n">
        <x:v>3</x:v>
      </x:c>
      <x:c r="O230" s="92" t="b">
        <x:v>0</x:v>
      </x:c>
      <x:c r="P230" s="88"/>
    </x:row>
    <x:row r="231">
      <x:c r="A231" s="56" t="str">
        <x:v>hyper-fang</x:v>
      </x:c>
      <x:c r="B231" s="56" t="str">
        <x:v>ひっさつまえば</x:v>
      </x:c>
      <x:c r="C231" s="56" t="str">
        <x:v>Hyper Fang</x:v>
      </x:c>
      <x:c r="D231" s="85" t="str">
        <x:v>ノーマル</x:v>
      </x:c>
      <x:c r="E231" s="86" t="n">
        <x:v>80</x:v>
      </x:c>
      <x:c r="F231" s="85" t="str">
        <x:v>物理</x:v>
      </x:c>
      <x:c r="G231" s="85" t="str">
        <x:v>単体対象</x:v>
      </x:c>
      <x:c r="H231" s="87" t="b">
        <x:v>1</x:v>
      </x:c>
      <x:c r="I231" s="88"/>
      <x:c r="J231" s="89"/>
      <x:c r="K231" s="88"/>
      <x:c r="L231" s="90" t="n">
        <x:v>0</x:v>
      </x:c>
      <x:c r="M231" s="88"/>
      <x:c r="N231" s="91" t="n">
        <x:v>13</x:v>
      </x:c>
      <x:c r="O231" s="92" t="b">
        <x:v>0</x:v>
      </x:c>
      <x:c r="P231" s="88"/>
    </x:row>
    <x:row r="232">
      <x:c r="A232" s="56" t="str">
        <x:v>hyper-voice</x:v>
      </x:c>
      <x:c r="B232" s="56" t="str">
        <x:v>ハイパーボイス</x:v>
      </x:c>
      <x:c r="C232" s="56" t="str">
        <x:v>Hyper Voice</x:v>
      </x:c>
      <x:c r="D232" s="85" t="str">
        <x:v>ノーマル</x:v>
      </x:c>
      <x:c r="E232" s="86" t="n">
        <x:v>90</x:v>
      </x:c>
      <x:c r="F232" s="85" t="str">
        <x:v>特殊</x:v>
      </x:c>
      <x:c r="G232" s="85" t="str">
        <x:v>複数対象</x:v>
      </x:c>
      <x:c r="H232" s="87" t="b">
        <x:v>1</x:v>
      </x:c>
      <x:c r="I232" s="88"/>
      <x:c r="J232" s="89"/>
      <x:c r="K232" s="88"/>
      <x:c r="L232" s="90" t="n">
        <x:v>0</x:v>
      </x:c>
      <x:c r="M232" s="88"/>
      <x:c r="N232" s="91" t="n">
        <x:v>251</x:v>
      </x:c>
      <x:c r="O232" s="92" t="b">
        <x:v>1</x:v>
      </x:c>
      <x:c r="P232" s="88"/>
    </x:row>
    <x:row r="233">
      <x:c r="A233" s="56" t="str">
        <x:v>hyperspace-fury</x:v>
      </x:c>
      <x:c r="B233" s="56" t="str">
        <x:v>いじげんラッシュ</x:v>
      </x:c>
      <x:c r="C233" s="56" t="str">
        <x:v>Hyperspace Fury</x:v>
      </x:c>
      <x:c r="D233" s="85" t="str">
        <x:v>あく</x:v>
      </x:c>
      <x:c r="E233" s="86" t="n">
        <x:v>100</x:v>
      </x:c>
      <x:c r="F233" s="85" t="str">
        <x:v>物理</x:v>
      </x:c>
      <x:c r="G233" s="85" t="str">
        <x:v>単体対象</x:v>
      </x:c>
      <x:c r="H233" s="87" t="b">
        <x:v>1</x:v>
      </x:c>
      <x:c r="I233" s="88"/>
      <x:c r="J233" s="89"/>
      <x:c r="K233" s="88"/>
      <x:c r="L233" s="90" t="n">
        <x:v>0</x:v>
      </x:c>
      <x:c r="M233" s="88"/>
      <x:c r="N233" s="91" t="n">
        <x:v>1</x:v>
      </x:c>
      <x:c r="O233" s="92" t="b">
        <x:v>0</x:v>
      </x:c>
      <x:c r="P233" s="88"/>
    </x:row>
    <x:row r="234">
      <x:c r="A234" s="56" t="str">
        <x:v>hyperspace-hole</x:v>
      </x:c>
      <x:c r="B234" s="56" t="str">
        <x:v>いじげんホール</x:v>
      </x:c>
      <x:c r="C234" s="56" t="str">
        <x:v>Hyperspace Hole</x:v>
      </x:c>
      <x:c r="D234" s="85" t="str">
        <x:v>エスパー</x:v>
      </x:c>
      <x:c r="E234" s="86" t="n">
        <x:v>80</x:v>
      </x:c>
      <x:c r="F234" s="85" t="str">
        <x:v>特殊</x:v>
      </x:c>
      <x:c r="G234" s="85" t="str">
        <x:v>単体対象</x:v>
      </x:c>
      <x:c r="H234" s="87" t="b">
        <x:v>1</x:v>
      </x:c>
      <x:c r="I234" s="88"/>
      <x:c r="J234" s="89"/>
      <x:c r="K234" s="88"/>
      <x:c r="L234" s="90" t="n">
        <x:v>0</x:v>
      </x:c>
      <x:c r="M234" s="88"/>
      <x:c r="N234" s="91" t="n">
        <x:v>1</x:v>
      </x:c>
      <x:c r="O234" s="92" t="b">
        <x:v>0</x:v>
      </x:c>
      <x:c r="P234" s="88"/>
    </x:row>
    <x:row r="235">
      <x:c r="A235" s="56" t="str">
        <x:v>ice-ball</x:v>
      </x:c>
      <x:c r="B235" s="56" t="str">
        <x:v>アイスボール</x:v>
      </x:c>
      <x:c r="C235" s="56" t="str">
        <x:v>Ice Ball</x:v>
      </x:c>
      <x:c r="D235" s="85" t="str">
        <x:v>こおり</x:v>
      </x:c>
      <x:c r="E235" s="86" t="n">
        <x:v>30</x:v>
      </x:c>
      <x:c r="F235" s="85" t="str">
        <x:v>物理</x:v>
      </x:c>
      <x:c r="G235" s="85" t="str">
        <x:v>単体対象</x:v>
      </x:c>
      <x:c r="H235" s="87" t="b">
        <x:v>1</x:v>
      </x:c>
      <x:c r="I235" s="88"/>
      <x:c r="J235" s="89"/>
      <x:c r="K235" s="88"/>
      <x:c r="L235" s="90" t="n">
        <x:v>0</x:v>
      </x:c>
      <x:c r="M235" s="88"/>
      <x:c r="N235" s="91" t="n">
        <x:v>15</x:v>
      </x:c>
      <x:c r="O235" s="92" t="b">
        <x:v>0</x:v>
      </x:c>
      <x:c r="P235" s="88"/>
    </x:row>
    <x:row r="236">
      <x:c r="A236" s="56" t="str">
        <x:v>ice-beam</x:v>
      </x:c>
      <x:c r="B236" s="56" t="str">
        <x:v>れいとうビーム</x:v>
      </x:c>
      <x:c r="C236" s="56" t="str">
        <x:v>Ice Beam</x:v>
      </x:c>
      <x:c r="D236" s="85" t="str">
        <x:v>こおり</x:v>
      </x:c>
      <x:c r="E236" s="86" t="n">
        <x:v>90</x:v>
      </x:c>
      <x:c r="F236" s="85" t="str">
        <x:v>特殊</x:v>
      </x:c>
      <x:c r="G236" s="85" t="str">
        <x:v>単体対象</x:v>
      </x:c>
      <x:c r="H236" s="87" t="b">
        <x:v>1</x:v>
      </x:c>
      <x:c r="I236" s="88"/>
      <x:c r="J236" s="89"/>
      <x:c r="K236" s="88"/>
      <x:c r="L236" s="90" t="n">
        <x:v>0</x:v>
      </x:c>
      <x:c r="M236" s="88"/>
      <x:c r="N236" s="91" t="n">
        <x:v>355</x:v>
      </x:c>
      <x:c r="O236" s="92" t="b">
        <x:v>0</x:v>
      </x:c>
      <x:c r="P236" s="88"/>
    </x:row>
    <x:row r="237">
      <x:c r="A237" s="56" t="str">
        <x:v>ice-burn</x:v>
      </x:c>
      <x:c r="B237" s="56" t="str">
        <x:v>コールドフレア</x:v>
      </x:c>
      <x:c r="C237" s="56" t="str">
        <x:v>Ice Burn</x:v>
      </x:c>
      <x:c r="D237" s="85" t="str">
        <x:v>こおり</x:v>
      </x:c>
      <x:c r="E237" s="86" t="n">
        <x:v>140</x:v>
      </x:c>
      <x:c r="F237" s="85" t="str">
        <x:v>特殊</x:v>
      </x:c>
      <x:c r="G237" s="85" t="str">
        <x:v>単体対象</x:v>
      </x:c>
      <x:c r="H237" s="87" t="b">
        <x:v>1</x:v>
      </x:c>
      <x:c r="I237" s="88"/>
      <x:c r="J237" s="89"/>
      <x:c r="K237" s="88"/>
      <x:c r="L237" s="90" t="n">
        <x:v>0</x:v>
      </x:c>
      <x:c r="M237" s="88"/>
      <x:c r="N237" s="91" t="n">
        <x:v>1</x:v>
      </x:c>
      <x:c r="O237" s="92" t="b">
        <x:v>0</x:v>
      </x:c>
      <x:c r="P237" s="88"/>
    </x:row>
    <x:row r="238">
      <x:c r="A238" s="56" t="str">
        <x:v>ice-fang</x:v>
      </x:c>
      <x:c r="B238" s="56" t="str">
        <x:v>こおりのキバ</x:v>
      </x:c>
      <x:c r="C238" s="56" t="str">
        <x:v>Ice Fang</x:v>
      </x:c>
      <x:c r="D238" s="85" t="str">
        <x:v>こおり</x:v>
      </x:c>
      <x:c r="E238" s="86" t="n">
        <x:v>65</x:v>
      </x:c>
      <x:c r="F238" s="85" t="str">
        <x:v>物理</x:v>
      </x:c>
      <x:c r="G238" s="85" t="str">
        <x:v>単体対象</x:v>
      </x:c>
      <x:c r="H238" s="87" t="b">
        <x:v>1</x:v>
      </x:c>
      <x:c r="I238" s="88"/>
      <x:c r="J238" s="89"/>
      <x:c r="K238" s="88"/>
      <x:c r="L238" s="90" t="n">
        <x:v>0</x:v>
      </x:c>
      <x:c r="M238" s="88"/>
      <x:c r="N238" s="91" t="n">
        <x:v>128</x:v>
      </x:c>
      <x:c r="O238" s="92" t="b">
        <x:v>0</x:v>
      </x:c>
      <x:c r="P238" s="88"/>
    </x:row>
    <x:row r="239">
      <x:c r="A239" s="56" t="str">
        <x:v>ice-hammer</x:v>
      </x:c>
      <x:c r="B239" s="56" t="str">
        <x:v>アイスハンマー</x:v>
      </x:c>
      <x:c r="C239" s="56" t="str">
        <x:v>Ice Hammer</x:v>
      </x:c>
      <x:c r="D239" s="85" t="str">
        <x:v>こおり</x:v>
      </x:c>
      <x:c r="E239" s="86" t="n">
        <x:v>100</x:v>
      </x:c>
      <x:c r="F239" s="85" t="str">
        <x:v>物理</x:v>
      </x:c>
      <x:c r="G239" s="85" t="str">
        <x:v>単体対象</x:v>
      </x:c>
      <x:c r="H239" s="87" t="b">
        <x:v>1</x:v>
      </x:c>
      <x:c r="I239" s="88"/>
      <x:c r="J239" s="89"/>
      <x:c r="K239" s="88"/>
      <x:c r="L239" s="90" t="n">
        <x:v>0</x:v>
      </x:c>
      <x:c r="M239" s="88"/>
      <x:c r="N239" s="91" t="n">
        <x:v>6</x:v>
      </x:c>
      <x:c r="O239" s="92" t="b">
        <x:v>0</x:v>
      </x:c>
      <x:c r="P239" s="88"/>
    </x:row>
    <x:row r="240">
      <x:c r="A240" s="56" t="str">
        <x:v>ice-punch</x:v>
      </x:c>
      <x:c r="B240" s="56" t="str">
        <x:v>れいとうパンチ</x:v>
      </x:c>
      <x:c r="C240" s="56" t="str">
        <x:v>Ice Punch</x:v>
      </x:c>
      <x:c r="D240" s="85" t="str">
        <x:v>こおり</x:v>
      </x:c>
      <x:c r="E240" s="86" t="n">
        <x:v>75</x:v>
      </x:c>
      <x:c r="F240" s="85" t="str">
        <x:v>物理</x:v>
      </x:c>
      <x:c r="G240" s="85" t="str">
        <x:v>単体対象</x:v>
      </x:c>
      <x:c r="H240" s="87" t="b">
        <x:v>1</x:v>
      </x:c>
      <x:c r="I240" s="88"/>
      <x:c r="J240" s="89"/>
      <x:c r="K240" s="88"/>
      <x:c r="L240" s="90" t="n">
        <x:v>0</x:v>
      </x:c>
      <x:c r="M240" s="88"/>
      <x:c r="N240" s="91" t="n">
        <x:v>235</x:v>
      </x:c>
      <x:c r="O240" s="92" t="b">
        <x:v>0</x:v>
      </x:c>
      <x:c r="P240" s="88"/>
    </x:row>
    <x:row r="241">
      <x:c r="A241" s="56" t="str">
        <x:v>ice-shard</x:v>
      </x:c>
      <x:c r="B241" s="56" t="str">
        <x:v>こおりのつぶて</x:v>
      </x:c>
      <x:c r="C241" s="56" t="str">
        <x:v>Ice Shard</x:v>
      </x:c>
      <x:c r="D241" s="85" t="str">
        <x:v>こおり</x:v>
      </x:c>
      <x:c r="E241" s="86" t="n">
        <x:v>40</x:v>
      </x:c>
      <x:c r="F241" s="85" t="str">
        <x:v>物理</x:v>
      </x:c>
      <x:c r="G241" s="85" t="str">
        <x:v>単体対象</x:v>
      </x:c>
      <x:c r="H241" s="87" t="b">
        <x:v>1</x:v>
      </x:c>
      <x:c r="I241" s="88"/>
      <x:c r="J241" s="89"/>
      <x:c r="K241" s="88"/>
      <x:c r="L241" s="90" t="n">
        <x:v>1</x:v>
      </x:c>
      <x:c r="M241" s="88"/>
      <x:c r="N241" s="91" t="n">
        <x:v>40</x:v>
      </x:c>
      <x:c r="O241" s="92" t="b">
        <x:v>0</x:v>
      </x:c>
      <x:c r="P241" s="88"/>
    </x:row>
    <x:row r="242">
      <x:c r="A242" s="56" t="str">
        <x:v>ice-spinner</x:v>
      </x:c>
      <x:c r="B242" s="56" t="str">
        <x:v>アイススピナー</x:v>
      </x:c>
      <x:c r="C242" s="56" t="str">
        <x:v>Ice Spinner</x:v>
      </x:c>
      <x:c r="D242" s="85" t="str">
        <x:v>こおり</x:v>
      </x:c>
      <x:c r="E242" s="86" t="n">
        <x:v>80</x:v>
      </x:c>
      <x:c r="F242" s="85" t="str">
        <x:v>物理</x:v>
      </x:c>
      <x:c r="G242" s="85" t="str">
        <x:v>単体対象</x:v>
      </x:c>
      <x:c r="H242" s="87" t="b">
        <x:v>1</x:v>
      </x:c>
      <x:c r="I242" s="88"/>
      <x:c r="J242" s="89"/>
      <x:c r="K242" s="88"/>
      <x:c r="L242" s="90" t="n">
        <x:v>0</x:v>
      </x:c>
      <x:c r="M242" s="88"/>
      <x:c r="N242" s="91" t="n">
        <x:v>85</x:v>
      </x:c>
      <x:c r="O242" s="92" t="b">
        <x:v>0</x:v>
      </x:c>
      <x:c r="P242" s="88"/>
    </x:row>
    <x:row r="243">
      <x:c r="A243" s="56" t="str">
        <x:v>icicle-crash</x:v>
      </x:c>
      <x:c r="B243" s="56" t="str">
        <x:v>つららおとし</x:v>
      </x:c>
      <x:c r="C243" s="56" t="str">
        <x:v>Icicle Crash</x:v>
      </x:c>
      <x:c r="D243" s="85" t="str">
        <x:v>こおり</x:v>
      </x:c>
      <x:c r="E243" s="86" t="n">
        <x:v>85</x:v>
      </x:c>
      <x:c r="F243" s="85" t="str">
        <x:v>物理</x:v>
      </x:c>
      <x:c r="G243" s="85" t="str">
        <x:v>単体対象</x:v>
      </x:c>
      <x:c r="H243" s="87" t="b">
        <x:v>1</x:v>
      </x:c>
      <x:c r="I243" s="88"/>
      <x:c r="J243" s="89"/>
      <x:c r="K243" s="88"/>
      <x:c r="L243" s="90" t="n">
        <x:v>0</x:v>
      </x:c>
      <x:c r="M243" s="88"/>
      <x:c r="N243" s="91" t="n">
        <x:v>33</x:v>
      </x:c>
      <x:c r="O243" s="92" t="b">
        <x:v>0</x:v>
      </x:c>
      <x:c r="P243" s="88"/>
    </x:row>
    <x:row r="244">
      <x:c r="A244" s="56" t="str">
        <x:v>icicle-spear</x:v>
      </x:c>
      <x:c r="B244" s="56" t="str">
        <x:v>つららばり</x:v>
      </x:c>
      <x:c r="C244" s="56" t="str">
        <x:v>Icicle Spear</x:v>
      </x:c>
      <x:c r="D244" s="85" t="str">
        <x:v>こおり</x:v>
      </x:c>
      <x:c r="E244" s="86" t="n">
        <x:v>25</x:v>
      </x:c>
      <x:c r="F244" s="85" t="str">
        <x:v>物理</x:v>
      </x:c>
      <x:c r="G244" s="85" t="str">
        <x:v>単体対象</x:v>
      </x:c>
      <x:c r="H244" s="87" t="b">
        <x:v>1</x:v>
      </x:c>
      <x:c r="I244" s="88"/>
      <x:c r="J244" s="89"/>
      <x:c r="K244" s="88"/>
      <x:c r="L244" s="90" t="n">
        <x:v>0</x:v>
      </x:c>
      <x:c r="M244" s="88"/>
      <x:c r="N244" s="91" t="n">
        <x:v>64</x:v>
      </x:c>
      <x:c r="O244" s="92" t="b">
        <x:v>0</x:v>
      </x:c>
      <x:c r="P244" s="88"/>
    </x:row>
    <x:row r="245">
      <x:c r="A245" s="56" t="str">
        <x:v>icy-wind</x:v>
      </x:c>
      <x:c r="B245" s="56" t="str">
        <x:v>こごえるかぜ</x:v>
      </x:c>
      <x:c r="C245" s="56" t="str">
        <x:v>Icy Wind</x:v>
      </x:c>
      <x:c r="D245" s="85" t="str">
        <x:v>こおり</x:v>
      </x:c>
      <x:c r="E245" s="86" t="n">
        <x:v>55</x:v>
      </x:c>
      <x:c r="F245" s="85" t="str">
        <x:v>特殊</x:v>
      </x:c>
      <x:c r="G245" s="85" t="str">
        <x:v>複数対象</x:v>
      </x:c>
      <x:c r="H245" s="87" t="b">
        <x:v>1</x:v>
      </x:c>
      <x:c r="I245" s="88"/>
      <x:c r="J245" s="89"/>
      <x:c r="K245" s="88"/>
      <x:c r="L245" s="90" t="n">
        <x:v>0</x:v>
      </x:c>
      <x:c r="M245" s="88"/>
      <x:c r="N245" s="91" t="n">
        <x:v>383</x:v>
      </x:c>
      <x:c r="O245" s="92" t="b">
        <x:v>1</x:v>
      </x:c>
      <x:c r="P245" s="88"/>
    </x:row>
    <x:row r="246">
      <x:c r="A246" s="56" t="str">
        <x:v>incinerate</x:v>
      </x:c>
      <x:c r="B246" s="56" t="str">
        <x:v>やきつくす</x:v>
      </x:c>
      <x:c r="C246" s="56" t="str">
        <x:v>Incinerate</x:v>
      </x:c>
      <x:c r="D246" s="85" t="str">
        <x:v>ほのお</x:v>
      </x:c>
      <x:c r="E246" s="86" t="n">
        <x:v>60</x:v>
      </x:c>
      <x:c r="F246" s="85" t="str">
        <x:v>特殊</x:v>
      </x:c>
      <x:c r="G246" s="85" t="str">
        <x:v>複数対象</x:v>
      </x:c>
      <x:c r="H246" s="87" t="b">
        <x:v>1</x:v>
      </x:c>
      <x:c r="I246" s="88"/>
      <x:c r="J246" s="89"/>
      <x:c r="K246" s="88"/>
      <x:c r="L246" s="90" t="n">
        <x:v>0</x:v>
      </x:c>
      <x:c r="M246" s="88"/>
      <x:c r="N246" s="91" t="n">
        <x:v>218</x:v>
      </x:c>
      <x:c r="O246" s="92" t="b">
        <x:v>1</x:v>
      </x:c>
      <x:c r="P246" s="88"/>
    </x:row>
    <x:row r="247">
      <x:c r="A247" s="56" t="str">
        <x:v>infernal-parade</x:v>
      </x:c>
      <x:c r="B247" s="56" t="str">
        <x:v>ひゃっきやこう</x:v>
      </x:c>
      <x:c r="C247" s="56" t="str">
        <x:v>Infernal Parade</x:v>
      </x:c>
      <x:c r="D247" s="85" t="str">
        <x:v>ゴースト</x:v>
      </x:c>
      <x:c r="E247" s="86" t="n">
        <x:v>60</x:v>
      </x:c>
      <x:c r="F247" s="85" t="str">
        <x:v>特殊</x:v>
      </x:c>
      <x:c r="G247" s="85" t="str">
        <x:v>単体対象</x:v>
      </x:c>
      <x:c r="H247" s="87" t="b">
        <x:v>1</x:v>
      </x:c>
      <x:c r="I247" s="88"/>
      <x:c r="J247" s="89"/>
      <x:c r="K247" s="88"/>
      <x:c r="L247" s="90" t="n">
        <x:v>0</x:v>
      </x:c>
      <x:c r="M247" s="88"/>
      <x:c r="N247" s="91" t="n">
        <x:v>1</x:v>
      </x:c>
      <x:c r="O247" s="92" t="b">
        <x:v>0</x:v>
      </x:c>
      <x:c r="P247" s="88"/>
    </x:row>
    <x:row r="248">
      <x:c r="A248" s="56" t="str">
        <x:v>inferno</x:v>
      </x:c>
      <x:c r="B248" s="56" t="str">
        <x:v>れんごく</x:v>
      </x:c>
      <x:c r="C248" s="56" t="str">
        <x:v>Inferno</x:v>
      </x:c>
      <x:c r="D248" s="85" t="str">
        <x:v>ほのお</x:v>
      </x:c>
      <x:c r="E248" s="86" t="n">
        <x:v>100</x:v>
      </x:c>
      <x:c r="F248" s="85" t="str">
        <x:v>特殊</x:v>
      </x:c>
      <x:c r="G248" s="85" t="str">
        <x:v>単体対象</x:v>
      </x:c>
      <x:c r="H248" s="87" t="b">
        <x:v>1</x:v>
      </x:c>
      <x:c r="I248" s="88"/>
      <x:c r="J248" s="89"/>
      <x:c r="K248" s="88"/>
      <x:c r="L248" s="90" t="n">
        <x:v>0</x:v>
      </x:c>
      <x:c r="M248" s="88"/>
      <x:c r="N248" s="91" t="n">
        <x:v>27</x:v>
      </x:c>
      <x:c r="O248" s="92" t="b">
        <x:v>0</x:v>
      </x:c>
      <x:c r="P248" s="88"/>
    </x:row>
    <x:row r="249">
      <x:c r="A249" s="56" t="str">
        <x:v>infestation</x:v>
      </x:c>
      <x:c r="B249" s="56" t="str">
        <x:v>まとわりつく</x:v>
      </x:c>
      <x:c r="C249" s="56" t="str">
        <x:v>Infestation</x:v>
      </x:c>
      <x:c r="D249" s="85" t="str">
        <x:v>むし</x:v>
      </x:c>
      <x:c r="E249" s="86" t="n">
        <x:v>20</x:v>
      </x:c>
      <x:c r="F249" s="85" t="str">
        <x:v>特殊</x:v>
      </x:c>
      <x:c r="G249" s="85" t="str">
        <x:v>単体対象</x:v>
      </x:c>
      <x:c r="H249" s="87" t="b">
        <x:v>1</x:v>
      </x:c>
      <x:c r="I249" s="88"/>
      <x:c r="J249" s="89"/>
      <x:c r="K249" s="88"/>
      <x:c r="L249" s="90" t="n">
        <x:v>0</x:v>
      </x:c>
      <x:c r="M249" s="88"/>
      <x:c r="N249" s="91" t="n">
        <x:v>129</x:v>
      </x:c>
      <x:c r="O249" s="92" t="b">
        <x:v>0</x:v>
      </x:c>
      <x:c r="P249" s="88"/>
    </x:row>
    <x:row r="250">
      <x:c r="A250" s="56" t="str">
        <x:v>iron-head</x:v>
      </x:c>
      <x:c r="B250" s="56" t="str">
        <x:v>アイアンヘッド</x:v>
      </x:c>
      <x:c r="C250" s="56" t="str">
        <x:v>Iron Head</x:v>
      </x:c>
      <x:c r="D250" s="85" t="str">
        <x:v>はがね</x:v>
      </x:c>
      <x:c r="E250" s="86" t="n">
        <x:v>80</x:v>
      </x:c>
      <x:c r="F250" s="85" t="str">
        <x:v>物理</x:v>
      </x:c>
      <x:c r="G250" s="85" t="str">
        <x:v>単体対象</x:v>
      </x:c>
      <x:c r="H250" s="87" t="b">
        <x:v>1</x:v>
      </x:c>
      <x:c r="I250" s="88"/>
      <x:c r="J250" s="89"/>
      <x:c r="K250" s="88"/>
      <x:c r="L250" s="90" t="n">
        <x:v>0</x:v>
      </x:c>
      <x:c r="M250" s="88"/>
      <x:c r="N250" s="91" t="n">
        <x:v>298</x:v>
      </x:c>
      <x:c r="O250" s="92" t="b">
        <x:v>0</x:v>
      </x:c>
      <x:c r="P250" s="88"/>
    </x:row>
    <x:row r="251">
      <x:c r="A251" s="56" t="str">
        <x:v>iron-tail</x:v>
      </x:c>
      <x:c r="B251" s="56" t="str">
        <x:v>アイアンテール</x:v>
      </x:c>
      <x:c r="C251" s="56" t="str">
        <x:v>Iron Tail</x:v>
      </x:c>
      <x:c r="D251" s="85" t="str">
        <x:v>はがね</x:v>
      </x:c>
      <x:c r="E251" s="86" t="n">
        <x:v>100</x:v>
      </x:c>
      <x:c r="F251" s="85" t="str">
        <x:v>物理</x:v>
      </x:c>
      <x:c r="G251" s="85" t="str">
        <x:v>単体対象</x:v>
      </x:c>
      <x:c r="H251" s="87" t="b">
        <x:v>1</x:v>
      </x:c>
      <x:c r="I251" s="88"/>
      <x:c r="J251" s="89"/>
      <x:c r="K251" s="88"/>
      <x:c r="L251" s="90" t="n">
        <x:v>0</x:v>
      </x:c>
      <x:c r="M251" s="88"/>
      <x:c r="N251" s="91" t="n">
        <x:v>416</x:v>
      </x:c>
      <x:c r="O251" s="92" t="b">
        <x:v>0</x:v>
      </x:c>
      <x:c r="P251" s="88"/>
    </x:row>
    <x:row r="252">
      <x:c r="A252" s="56" t="str">
        <x:v>ivy-cudgel</x:v>
      </x:c>
      <x:c r="B252" s="56" t="str">
        <x:v>ツタこんぼう</x:v>
      </x:c>
      <x:c r="C252" s="56" t="str">
        <x:v>Ivy Cudgel</x:v>
      </x:c>
      <x:c r="D252" s="85" t="str">
        <x:v>くさ</x:v>
      </x:c>
      <x:c r="E252" s="86" t="n">
        <x:v>100</x:v>
      </x:c>
      <x:c r="F252" s="85" t="str">
        <x:v>物理</x:v>
      </x:c>
      <x:c r="G252" s="85" t="str">
        <x:v>単体対象</x:v>
      </x:c>
      <x:c r="H252" s="87" t="b">
        <x:v>1</x:v>
      </x:c>
      <x:c r="I252" s="88"/>
      <x:c r="J252" s="89"/>
      <x:c r="K252" s="88"/>
      <x:c r="L252" s="90" t="n">
        <x:v>0</x:v>
      </x:c>
      <x:c r="M252" s="88"/>
      <x:c r="N252" s="91" t="n">
        <x:v>4</x:v>
      </x:c>
      <x:c r="O252" s="92" t="b">
        <x:v>0</x:v>
      </x:c>
      <x:c r="P252" s="88"/>
    </x:row>
    <x:row r="253">
      <x:c r="A253" s="56" t="str">
        <x:v>jaw-lock</x:v>
      </x:c>
      <x:c r="B253" s="56" t="str">
        <x:v>くらいつく</x:v>
      </x:c>
      <x:c r="C253" s="56" t="str">
        <x:v>Jaw Lock</x:v>
      </x:c>
      <x:c r="D253" s="85" t="str">
        <x:v>あく</x:v>
      </x:c>
      <x:c r="E253" s="86" t="n">
        <x:v>80</x:v>
      </x:c>
      <x:c r="F253" s="85" t="str">
        <x:v>物理</x:v>
      </x:c>
      <x:c r="G253" s="85" t="str">
        <x:v>単体対象</x:v>
      </x:c>
      <x:c r="H253" s="87" t="b">
        <x:v>1</x:v>
      </x:c>
      <x:c r="I253" s="88"/>
      <x:c r="J253" s="89"/>
      <x:c r="K253" s="88"/>
      <x:c r="L253" s="90" t="n">
        <x:v>0</x:v>
      </x:c>
      <x:c r="M253" s="88"/>
      <x:c r="N253" s="91" t="n">
        <x:v>5</x:v>
      </x:c>
      <x:c r="O253" s="92" t="b">
        <x:v>0</x:v>
      </x:c>
      <x:c r="P253" s="88"/>
    </x:row>
    <x:row r="254">
      <x:c r="A254" s="56" t="str">
        <x:v>jet-punch</x:v>
      </x:c>
      <x:c r="B254" s="56" t="str">
        <x:v>ジェットパンチ</x:v>
      </x:c>
      <x:c r="C254" s="56" t="str">
        <x:v>Jet Punch</x:v>
      </x:c>
      <x:c r="D254" s="85" t="str">
        <x:v>みず</x:v>
      </x:c>
      <x:c r="E254" s="86" t="n">
        <x:v>60</x:v>
      </x:c>
      <x:c r="F254" s="85" t="str">
        <x:v>物理</x:v>
      </x:c>
      <x:c r="G254" s="85" t="str">
        <x:v>単体対象</x:v>
      </x:c>
      <x:c r="H254" s="87" t="b">
        <x:v>1</x:v>
      </x:c>
      <x:c r="I254" s="88"/>
      <x:c r="J254" s="89"/>
      <x:c r="K254" s="88"/>
      <x:c r="L254" s="90" t="n">
        <x:v>1</x:v>
      </x:c>
      <x:c r="M254" s="88"/>
      <x:c r="N254" s="91" t="n">
        <x:v>2</x:v>
      </x:c>
      <x:c r="O254" s="92" t="b">
        <x:v>0</x:v>
      </x:c>
      <x:c r="P254" s="88"/>
    </x:row>
    <x:row r="255">
      <x:c r="A255" s="56" t="str">
        <x:v>judgment</x:v>
      </x:c>
      <x:c r="B255" s="56" t="str">
        <x:v>さばきのつぶて</x:v>
      </x:c>
      <x:c r="C255" s="56" t="str">
        <x:v>Judgment</x:v>
      </x:c>
      <x:c r="D255" s="85" t="str">
        <x:v>ノーマル</x:v>
      </x:c>
      <x:c r="E255" s="86" t="n">
        <x:v>100</x:v>
      </x:c>
      <x:c r="F255" s="85" t="str">
        <x:v>特殊</x:v>
      </x:c>
      <x:c r="G255" s="85" t="str">
        <x:v>単体対象</x:v>
      </x:c>
      <x:c r="H255" s="87" t="b">
        <x:v>1</x:v>
      </x:c>
      <x:c r="I255" s="88"/>
      <x:c r="J255" s="89"/>
      <x:c r="K255" s="88"/>
      <x:c r="L255" s="90" t="n">
        <x:v>0</x:v>
      </x:c>
      <x:c r="M255" s="88"/>
      <x:c r="N255" s="91" t="n">
        <x:v>1</x:v>
      </x:c>
      <x:c r="O255" s="92" t="b">
        <x:v>0</x:v>
      </x:c>
      <x:c r="P255" s="88"/>
    </x:row>
    <x:row r="256">
      <x:c r="A256" s="56" t="str">
        <x:v>jump-kick</x:v>
      </x:c>
      <x:c r="B256" s="56" t="str">
        <x:v>とびげり</x:v>
      </x:c>
      <x:c r="C256" s="56" t="str">
        <x:v>Jump Kick</x:v>
      </x:c>
      <x:c r="D256" s="85" t="str">
        <x:v>かくとう</x:v>
      </x:c>
      <x:c r="E256" s="86" t="n">
        <x:v>100</x:v>
      </x:c>
      <x:c r="F256" s="85" t="str">
        <x:v>物理</x:v>
      </x:c>
      <x:c r="G256" s="85" t="str">
        <x:v>単体対象</x:v>
      </x:c>
      <x:c r="H256" s="87" t="b">
        <x:v>1</x:v>
      </x:c>
      <x:c r="I256" s="88"/>
      <x:c r="J256" s="89"/>
      <x:c r="K256" s="88"/>
      <x:c r="L256" s="90" t="n">
        <x:v>0</x:v>
      </x:c>
      <x:c r="M256" s="88"/>
      <x:c r="N256" s="91" t="n">
        <x:v>13</x:v>
      </x:c>
      <x:c r="O256" s="92" t="b">
        <x:v>0</x:v>
      </x:c>
      <x:c r="P256" s="88"/>
    </x:row>
    <x:row r="257">
      <x:c r="A257" s="56" t="str">
        <x:v>karate-chop</x:v>
      </x:c>
      <x:c r="B257" s="56" t="str">
        <x:v>からてチョップ</x:v>
      </x:c>
      <x:c r="C257" s="56" t="str">
        <x:v>Karate Chop</x:v>
      </x:c>
      <x:c r="D257" s="85" t="str">
        <x:v>かくとう</x:v>
      </x:c>
      <x:c r="E257" s="86" t="n">
        <x:v>50</x:v>
      </x:c>
      <x:c r="F257" s="85" t="str">
        <x:v>物理</x:v>
      </x:c>
      <x:c r="G257" s="85" t="str">
        <x:v>単体対象</x:v>
      </x:c>
      <x:c r="H257" s="87" t="b">
        <x:v>1</x:v>
      </x:c>
      <x:c r="I257" s="88"/>
      <x:c r="J257" s="89"/>
      <x:c r="K257" s="88"/>
      <x:c r="L257" s="90" t="n">
        <x:v>0</x:v>
      </x:c>
      <x:c r="M257" s="88"/>
      <x:c r="N257" s="91" t="n">
        <x:v>11</x:v>
      </x:c>
      <x:c r="O257" s="92" t="b">
        <x:v>0</x:v>
      </x:c>
      <x:c r="P257" s="88"/>
    </x:row>
    <x:row r="258">
      <x:c r="A258" s="56" t="str">
        <x:v>knock-off</x:v>
      </x:c>
      <x:c r="B258" s="56" t="str">
        <x:v>はたきおとす</x:v>
      </x:c>
      <x:c r="C258" s="56" t="str">
        <x:v>Knock Off</x:v>
      </x:c>
      <x:c r="D258" s="85" t="str">
        <x:v>あく</x:v>
      </x:c>
      <x:c r="E258" s="86" t="n">
        <x:v>65</x:v>
      </x:c>
      <x:c r="F258" s="85" t="str">
        <x:v>物理</x:v>
      </x:c>
      <x:c r="G258" s="85" t="str">
        <x:v>単体対象</x:v>
      </x:c>
      <x:c r="H258" s="87" t="b">
        <x:v>1</x:v>
      </x:c>
      <x:c r="I258" s="88"/>
      <x:c r="J258" s="89"/>
      <x:c r="K258" s="88"/>
      <x:c r="L258" s="90" t="n">
        <x:v>0</x:v>
      </x:c>
      <x:c r="M258" s="88"/>
      <x:c r="N258" s="91" t="n">
        <x:v>380</x:v>
      </x:c>
      <x:c r="O258" s="92" t="b">
        <x:v>0</x:v>
      </x:c>
      <x:c r="P258" s="88"/>
    </x:row>
    <x:row r="259">
      <x:c r="A259" s="56" t="str">
        <x:v>kowtow-cleave</x:v>
      </x:c>
      <x:c r="B259" s="56" t="str">
        <x:v>ドゲザン</x:v>
      </x:c>
      <x:c r="C259" s="56" t="str">
        <x:v>Kowtow Cleave</x:v>
      </x:c>
      <x:c r="D259" s="85" t="str">
        <x:v>あく</x:v>
      </x:c>
      <x:c r="E259" s="86" t="n">
        <x:v>85</x:v>
      </x:c>
      <x:c r="F259" s="85" t="str">
        <x:v>物理</x:v>
      </x:c>
      <x:c r="G259" s="85" t="str">
        <x:v>単体対象</x:v>
      </x:c>
      <x:c r="H259" s="87" t="b">
        <x:v>1</x:v>
      </x:c>
      <x:c r="I259" s="88"/>
      <x:c r="J259" s="89"/>
      <x:c r="K259" s="88"/>
      <x:c r="L259" s="90" t="n">
        <x:v>0</x:v>
      </x:c>
      <x:c r="M259" s="88"/>
      <x:c r="N259" s="91" t="n">
        <x:v>1</x:v>
      </x:c>
      <x:c r="O259" s="92" t="b">
        <x:v>0</x:v>
      </x:c>
      <x:c r="P259" s="88"/>
    </x:row>
    <x:row r="260">
      <x:c r="A260" s="56" t="str">
        <x:v>lands-wrath</x:v>
      </x:c>
      <x:c r="B260" s="56" t="str">
        <x:v>グランドフォース</x:v>
      </x:c>
      <x:c r="C260" s="56" t="str">
        <x:v>Land’s Wrath</x:v>
      </x:c>
      <x:c r="D260" s="85" t="str">
        <x:v>じめん</x:v>
      </x:c>
      <x:c r="E260" s="86" t="n">
        <x:v>90</x:v>
      </x:c>
      <x:c r="F260" s="85" t="str">
        <x:v>物理</x:v>
      </x:c>
      <x:c r="G260" s="85" t="str">
        <x:v>複数対象</x:v>
      </x:c>
      <x:c r="H260" s="87" t="b">
        <x:v>1</x:v>
      </x:c>
      <x:c r="I260" s="88"/>
      <x:c r="J260" s="89"/>
      <x:c r="K260" s="88"/>
      <x:c r="L260" s="90" t="n">
        <x:v>0</x:v>
      </x:c>
      <x:c r="M260" s="88"/>
      <x:c r="N260" s="91" t="n">
        <x:v>5</x:v>
      </x:c>
      <x:c r="O260" s="92" t="b">
        <x:v>1</x:v>
      </x:c>
      <x:c r="P260" s="88"/>
    </x:row>
    <x:row r="261">
      <x:c r="A261" s="56" t="str">
        <x:v>lash-out</x:v>
      </x:c>
      <x:c r="B261" s="56" t="str">
        <x:v>うっぷんばらし</x:v>
      </x:c>
      <x:c r="C261" s="56" t="str">
        <x:v>Lash Out</x:v>
      </x:c>
      <x:c r="D261" s="85" t="str">
        <x:v>あく</x:v>
      </x:c>
      <x:c r="E261" s="86" t="n">
        <x:v>75</x:v>
      </x:c>
      <x:c r="F261" s="85" t="str">
        <x:v>物理</x:v>
      </x:c>
      <x:c r="G261" s="85" t="str">
        <x:v>単体対象</x:v>
      </x:c>
      <x:c r="H261" s="87" t="b">
        <x:v>1</x:v>
      </x:c>
      <x:c r="I261" s="88"/>
      <x:c r="J261" s="89"/>
      <x:c r="K261" s="88"/>
      <x:c r="L261" s="90" t="n">
        <x:v>0</x:v>
      </x:c>
      <x:c r="M261" s="88"/>
      <x:c r="N261" s="91" t="n">
        <x:v>171</x:v>
      </x:c>
      <x:c r="O261" s="92" t="b">
        <x:v>0</x:v>
      </x:c>
      <x:c r="P261" s="88"/>
    </x:row>
    <x:row r="262">
      <x:c r="A262" s="56" t="str">
        <x:v>last-resort</x:v>
      </x:c>
      <x:c r="B262" s="56" t="str">
        <x:v>とっておき</x:v>
      </x:c>
      <x:c r="C262" s="56" t="str">
        <x:v>Last Resort</x:v>
      </x:c>
      <x:c r="D262" s="85" t="str">
        <x:v>ノーマル</x:v>
      </x:c>
      <x:c r="E262" s="86" t="n">
        <x:v>140</x:v>
      </x:c>
      <x:c r="F262" s="85" t="str">
        <x:v>物理</x:v>
      </x:c>
      <x:c r="G262" s="85" t="str">
        <x:v>単体対象</x:v>
      </x:c>
      <x:c r="H262" s="87" t="b">
        <x:v>1</x:v>
      </x:c>
      <x:c r="I262" s="88"/>
      <x:c r="J262" s="89"/>
      <x:c r="K262" s="88"/>
      <x:c r="L262" s="90" t="n">
        <x:v>0</x:v>
      </x:c>
      <x:c r="M262" s="88"/>
      <x:c r="N262" s="91" t="n">
        <x:v>177</x:v>
      </x:c>
      <x:c r="O262" s="92" t="b">
        <x:v>0</x:v>
      </x:c>
      <x:c r="P262" s="88"/>
    </x:row>
    <x:row r="263">
      <x:c r="A263" s="56" t="str">
        <x:v>last-respects</x:v>
      </x:c>
      <x:c r="B263" s="56" t="str">
        <x:v>おはかまいり</x:v>
      </x:c>
      <x:c r="C263" s="56" t="str">
        <x:v>Last Respects</x:v>
      </x:c>
      <x:c r="D263" s="85" t="str">
        <x:v>ゴースト</x:v>
      </x:c>
      <x:c r="E263" s="86" t="n">
        <x:v>50</x:v>
      </x:c>
      <x:c r="F263" s="85" t="str">
        <x:v>物理</x:v>
      </x:c>
      <x:c r="G263" s="85" t="str">
        <x:v>単体対象</x:v>
      </x:c>
      <x:c r="H263" s="87" t="b">
        <x:v>1</x:v>
      </x:c>
      <x:c r="I263" s="88"/>
      <x:c r="J263" s="89"/>
      <x:c r="K263" s="88"/>
      <x:c r="L263" s="90" t="n">
        <x:v>0</x:v>
      </x:c>
      <x:c r="M263" s="88"/>
      <x:c r="N263" s="91" t="n">
        <x:v>4</x:v>
      </x:c>
      <x:c r="O263" s="92" t="b">
        <x:v>0</x:v>
      </x:c>
      <x:c r="P263" s="88"/>
    </x:row>
    <x:row r="264">
      <x:c r="A264" s="56" t="str">
        <x:v>lava-plume</x:v>
      </x:c>
      <x:c r="B264" s="56" t="str">
        <x:v>ふんえん</x:v>
      </x:c>
      <x:c r="C264" s="56" t="str">
        <x:v>Lava Plume</x:v>
      </x:c>
      <x:c r="D264" s="85" t="str">
        <x:v>ほのお</x:v>
      </x:c>
      <x:c r="E264" s="86" t="n">
        <x:v>80</x:v>
      </x:c>
      <x:c r="F264" s="85" t="str">
        <x:v>特殊</x:v>
      </x:c>
      <x:c r="G264" s="85" t="str">
        <x:v>複数対象</x:v>
      </x:c>
      <x:c r="H264" s="87" t="b">
        <x:v>1</x:v>
      </x:c>
      <x:c r="I264" s="88"/>
      <x:c r="J264" s="89"/>
      <x:c r="K264" s="88"/>
      <x:c r="L264" s="90" t="n">
        <x:v>0</x:v>
      </x:c>
      <x:c r="M264" s="88"/>
      <x:c r="N264" s="91" t="n">
        <x:v>23</x:v>
      </x:c>
      <x:c r="O264" s="92" t="b">
        <x:v>1</x:v>
      </x:c>
      <x:c r="P264" s="88"/>
    </x:row>
    <x:row r="265">
      <x:c r="A265" s="56" t="str">
        <x:v>leaf-blade</x:v>
      </x:c>
      <x:c r="B265" s="56" t="str">
        <x:v>リーフブレード</x:v>
      </x:c>
      <x:c r="C265" s="56" t="str">
        <x:v>Leaf Blade</x:v>
      </x:c>
      <x:c r="D265" s="85" t="str">
        <x:v>くさ</x:v>
      </x:c>
      <x:c r="E265" s="86" t="n">
        <x:v>90</x:v>
      </x:c>
      <x:c r="F265" s="85" t="str">
        <x:v>物理</x:v>
      </x:c>
      <x:c r="G265" s="85" t="str">
        <x:v>単体対象</x:v>
      </x:c>
      <x:c r="H265" s="87" t="b">
        <x:v>1</x:v>
      </x:c>
      <x:c r="I265" s="88"/>
      <x:c r="J265" s="89"/>
      <x:c r="K265" s="88"/>
      <x:c r="L265" s="90" t="n">
        <x:v>0</x:v>
      </x:c>
      <x:c r="M265" s="88"/>
      <x:c r="N265" s="91" t="n">
        <x:v>41</x:v>
      </x:c>
      <x:c r="O265" s="92" t="b">
        <x:v>0</x:v>
      </x:c>
      <x:c r="P265" s="88"/>
    </x:row>
    <x:row r="266">
      <x:c r="A266" s="56" t="str">
        <x:v>leaf-storm</x:v>
      </x:c>
      <x:c r="B266" s="56" t="str">
        <x:v>リーフストーム</x:v>
      </x:c>
      <x:c r="C266" s="56" t="str">
        <x:v>Leaf Storm</x:v>
      </x:c>
      <x:c r="D266" s="85" t="str">
        <x:v>くさ</x:v>
      </x:c>
      <x:c r="E266" s="86" t="n">
        <x:v>130</x:v>
      </x:c>
      <x:c r="F266" s="85" t="str">
        <x:v>特殊</x:v>
      </x:c>
      <x:c r="G266" s="85" t="str">
        <x:v>単体対象</x:v>
      </x:c>
      <x:c r="H266" s="87" t="b">
        <x:v>1</x:v>
      </x:c>
      <x:c r="I266" s="88"/>
      <x:c r="J266" s="89"/>
      <x:c r="K266" s="88"/>
      <x:c r="L266" s="90" t="n">
        <x:v>0</x:v>
      </x:c>
      <x:c r="M266" s="88"/>
      <x:c r="N266" s="91" t="n">
        <x:v>123</x:v>
      </x:c>
      <x:c r="O266" s="92" t="b">
        <x:v>0</x:v>
      </x:c>
      <x:c r="P266" s="88"/>
    </x:row>
    <x:row r="267">
      <x:c r="A267" s="56" t="str">
        <x:v>leaf-tornado</x:v>
      </x:c>
      <x:c r="B267" s="56" t="str">
        <x:v>グラスミキサー</x:v>
      </x:c>
      <x:c r="C267" s="56" t="str">
        <x:v>Leaf Tornado</x:v>
      </x:c>
      <x:c r="D267" s="85" t="str">
        <x:v>くさ</x:v>
      </x:c>
      <x:c r="E267" s="86" t="n">
        <x:v>65</x:v>
      </x:c>
      <x:c r="F267" s="85" t="str">
        <x:v>特殊</x:v>
      </x:c>
      <x:c r="G267" s="85" t="str">
        <x:v>単体対象</x:v>
      </x:c>
      <x:c r="H267" s="87" t="b">
        <x:v>1</x:v>
      </x:c>
      <x:c r="I267" s="88"/>
      <x:c r="J267" s="89"/>
      <x:c r="K267" s="88"/>
      <x:c r="L267" s="90" t="n">
        <x:v>0</x:v>
      </x:c>
      <x:c r="M267" s="88"/>
      <x:c r="N267" s="91" t="n">
        <x:v>10</x:v>
      </x:c>
      <x:c r="O267" s="92" t="b">
        <x:v>0</x:v>
      </x:c>
      <x:c r="P267" s="88"/>
    </x:row>
    <x:row r="268">
      <x:c r="A268" s="56" t="str">
        <x:v>leafage</x:v>
      </x:c>
      <x:c r="B268" s="56" t="str">
        <x:v>このは</x:v>
      </x:c>
      <x:c r="C268" s="56" t="str">
        <x:v>Leafage</x:v>
      </x:c>
      <x:c r="D268" s="85" t="str">
        <x:v>くさ</x:v>
      </x:c>
      <x:c r="E268" s="86" t="n">
        <x:v>40</x:v>
      </x:c>
      <x:c r="F268" s="85" t="str">
        <x:v>物理</x:v>
      </x:c>
      <x:c r="G268" s="85" t="str">
        <x:v>単体対象</x:v>
      </x:c>
      <x:c r="H268" s="87" t="b">
        <x:v>1</x:v>
      </x:c>
      <x:c r="I268" s="88"/>
      <x:c r="J268" s="89"/>
      <x:c r="K268" s="88"/>
      <x:c r="L268" s="90" t="n">
        <x:v>0</x:v>
      </x:c>
      <x:c r="M268" s="88"/>
      <x:c r="N268" s="91" t="n">
        <x:v>29</x:v>
      </x:c>
      <x:c r="O268" s="92" t="b">
        <x:v>0</x:v>
      </x:c>
      <x:c r="P268" s="88"/>
    </x:row>
    <x:row r="269">
      <x:c r="A269" s="56" t="str">
        <x:v>leech-life</x:v>
      </x:c>
      <x:c r="B269" s="56" t="str">
        <x:v>きゅうけつ</x:v>
      </x:c>
      <x:c r="C269" s="56" t="str">
        <x:v>Leech Life</x:v>
      </x:c>
      <x:c r="D269" s="85" t="str">
        <x:v>むし</x:v>
      </x:c>
      <x:c r="E269" s="86" t="n">
        <x:v>80</x:v>
      </x:c>
      <x:c r="F269" s="85" t="str">
        <x:v>物理</x:v>
      </x:c>
      <x:c r="G269" s="85" t="str">
        <x:v>単体対象</x:v>
      </x:c>
      <x:c r="H269" s="87" t="b">
        <x:v>1</x:v>
      </x:c>
      <x:c r="I269" s="88"/>
      <x:c r="J269" s="89"/>
      <x:c r="K269" s="88"/>
      <x:c r="L269" s="90" t="n">
        <x:v>0</x:v>
      </x:c>
      <x:c r="M269" s="88"/>
      <x:c r="N269" s="91" t="n">
        <x:v>85</x:v>
      </x:c>
      <x:c r="O269" s="92" t="b">
        <x:v>0</x:v>
      </x:c>
      <x:c r="P269" s="88"/>
    </x:row>
    <x:row r="270">
      <x:c r="A270" s="56" t="str">
        <x:v>lick</x:v>
      </x:c>
      <x:c r="B270" s="56" t="str">
        <x:v>したでなめる</x:v>
      </x:c>
      <x:c r="C270" s="56" t="str">
        <x:v>Lick</x:v>
      </x:c>
      <x:c r="D270" s="85" t="str">
        <x:v>ゴースト</x:v>
      </x:c>
      <x:c r="E270" s="86" t="n">
        <x:v>30</x:v>
      </x:c>
      <x:c r="F270" s="85" t="str">
        <x:v>物理</x:v>
      </x:c>
      <x:c r="G270" s="85" t="str">
        <x:v>単体対象</x:v>
      </x:c>
      <x:c r="H270" s="87" t="b">
        <x:v>1</x:v>
      </x:c>
      <x:c r="I270" s="88"/>
      <x:c r="J270" s="89"/>
      <x:c r="K270" s="88"/>
      <x:c r="L270" s="90" t="n">
        <x:v>0</x:v>
      </x:c>
      <x:c r="M270" s="88"/>
      <x:c r="N270" s="91" t="n">
        <x:v>50</x:v>
      </x:c>
      <x:c r="O270" s="92" t="b">
        <x:v>0</x:v>
      </x:c>
      <x:c r="P270" s="88"/>
    </x:row>
    <x:row r="271">
      <x:c r="A271" s="56" t="str">
        <x:v>light-of-ruin</x:v>
      </x:c>
      <x:c r="B271" s="56" t="str">
        <x:v>はめつのひかり</x:v>
      </x:c>
      <x:c r="C271" s="56" t="str">
        <x:v>Light of Ruin</x:v>
      </x:c>
      <x:c r="D271" s="85" t="str">
        <x:v>フェアリー</x:v>
      </x:c>
      <x:c r="E271" s="86" t="n">
        <x:v>140</x:v>
      </x:c>
      <x:c r="F271" s="85" t="str">
        <x:v>特殊</x:v>
      </x:c>
      <x:c r="G271" s="85" t="str">
        <x:v>単体対象</x:v>
      </x:c>
      <x:c r="H271" s="87" t="b">
        <x:v>1</x:v>
      </x:c>
      <x:c r="I271" s="88"/>
      <x:c r="J271" s="89"/>
      <x:c r="K271" s="88"/>
      <x:c r="L271" s="90" t="n">
        <x:v>0</x:v>
      </x:c>
      <x:c r="M271" s="88"/>
      <x:c r="N271" s="91" t="n">
        <x:v>2</x:v>
      </x:c>
      <x:c r="O271" s="92" t="b">
        <x:v>0</x:v>
      </x:c>
      <x:c r="P271" s="88"/>
    </x:row>
    <x:row r="272">
      <x:c r="A272" s="56" t="str">
        <x:v>liquidation</x:v>
      </x:c>
      <x:c r="B272" s="56" t="str">
        <x:v>アクアブレイク</x:v>
      </x:c>
      <x:c r="C272" s="56" t="str">
        <x:v>Liquidation</x:v>
      </x:c>
      <x:c r="D272" s="85" t="str">
        <x:v>みず</x:v>
      </x:c>
      <x:c r="E272" s="86" t="n">
        <x:v>85</x:v>
      </x:c>
      <x:c r="F272" s="85" t="str">
        <x:v>物理</x:v>
      </x:c>
      <x:c r="G272" s="85" t="str">
        <x:v>単体対象</x:v>
      </x:c>
      <x:c r="H272" s="87" t="b">
        <x:v>1</x:v>
      </x:c>
      <x:c r="I272" s="88"/>
      <x:c r="J272" s="89"/>
      <x:c r="K272" s="88"/>
      <x:c r="L272" s="90" t="n">
        <x:v>0</x:v>
      </x:c>
      <x:c r="M272" s="88"/>
      <x:c r="N272" s="91" t="n">
        <x:v>180</x:v>
      </x:c>
      <x:c r="O272" s="92" t="b">
        <x:v>0</x:v>
      </x:c>
      <x:c r="P272" s="88"/>
    </x:row>
    <x:row r="273">
      <x:c r="A273" s="56" t="str">
        <x:v>low-sweep</x:v>
      </x:c>
      <x:c r="B273" s="56" t="str">
        <x:v>ローキック</x:v>
      </x:c>
      <x:c r="C273" s="56" t="str">
        <x:v>Low Sweep</x:v>
      </x:c>
      <x:c r="D273" s="85" t="str">
        <x:v>かくとう</x:v>
      </x:c>
      <x:c r="E273" s="86" t="n">
        <x:v>65</x:v>
      </x:c>
      <x:c r="F273" s="85" t="str">
        <x:v>物理</x:v>
      </x:c>
      <x:c r="G273" s="85" t="str">
        <x:v>単体対象</x:v>
      </x:c>
      <x:c r="H273" s="87" t="b">
        <x:v>1</x:v>
      </x:c>
      <x:c r="I273" s="88"/>
      <x:c r="J273" s="89"/>
      <x:c r="K273" s="88"/>
      <x:c r="L273" s="90" t="n">
        <x:v>0</x:v>
      </x:c>
      <x:c r="M273" s="88"/>
      <x:c r="N273" s="91" t="n">
        <x:v>175</x:v>
      </x:c>
      <x:c r="O273" s="92" t="b">
        <x:v>0</x:v>
      </x:c>
      <x:c r="P273" s="88"/>
    </x:row>
    <x:row r="274">
      <x:c r="A274" s="56" t="str">
        <x:v>lumina-crash</x:v>
      </x:c>
      <x:c r="B274" s="56" t="str">
        <x:v>ルミナコリジョン</x:v>
      </x:c>
      <x:c r="C274" s="56" t="str">
        <x:v>Lumina Crash</x:v>
      </x:c>
      <x:c r="D274" s="85" t="str">
        <x:v>エスパー</x:v>
      </x:c>
      <x:c r="E274" s="86" t="n">
        <x:v>80</x:v>
      </x:c>
      <x:c r="F274" s="85" t="str">
        <x:v>特殊</x:v>
      </x:c>
      <x:c r="G274" s="85" t="str">
        <x:v>単体対象</x:v>
      </x:c>
      <x:c r="H274" s="87" t="b">
        <x:v>1</x:v>
      </x:c>
      <x:c r="I274" s="88"/>
      <x:c r="J274" s="89"/>
      <x:c r="K274" s="88"/>
      <x:c r="L274" s="90" t="n">
        <x:v>0</x:v>
      </x:c>
      <x:c r="M274" s="88"/>
      <x:c r="N274" s="91" t="n">
        <x:v>1</x:v>
      </x:c>
      <x:c r="O274" s="92" t="b">
        <x:v>0</x:v>
      </x:c>
      <x:c r="P274" s="88"/>
    </x:row>
    <x:row r="275">
      <x:c r="A275" s="56" t="str">
        <x:v>lunge</x:v>
      </x:c>
      <x:c r="B275" s="56" t="str">
        <x:v>とびかかる</x:v>
      </x:c>
      <x:c r="C275" s="56" t="str">
        <x:v>Lunge</x:v>
      </x:c>
      <x:c r="D275" s="85" t="str">
        <x:v>むし</x:v>
      </x:c>
      <x:c r="E275" s="86" t="n">
        <x:v>80</x:v>
      </x:c>
      <x:c r="F275" s="85" t="str">
        <x:v>物理</x:v>
      </x:c>
      <x:c r="G275" s="85" t="str">
        <x:v>単体対象</x:v>
      </x:c>
      <x:c r="H275" s="87" t="b">
        <x:v>1</x:v>
      </x:c>
      <x:c r="I275" s="88"/>
      <x:c r="J275" s="89"/>
      <x:c r="K275" s="88"/>
      <x:c r="L275" s="90" t="n">
        <x:v>0</x:v>
      </x:c>
      <x:c r="M275" s="88"/>
      <x:c r="N275" s="91" t="n">
        <x:v>91</x:v>
      </x:c>
      <x:c r="O275" s="92" t="b">
        <x:v>0</x:v>
      </x:c>
      <x:c r="P275" s="88"/>
    </x:row>
    <x:row r="276">
      <x:c r="A276" s="56" t="str">
        <x:v>luster-purge</x:v>
      </x:c>
      <x:c r="B276" s="56" t="str">
        <x:v>ラスターパージ</x:v>
      </x:c>
      <x:c r="C276" s="56" t="str">
        <x:v>Luster Purge</x:v>
      </x:c>
      <x:c r="D276" s="85" t="str">
        <x:v>エスパー</x:v>
      </x:c>
      <x:c r="E276" s="86" t="n">
        <x:v>95</x:v>
      </x:c>
      <x:c r="F276" s="85" t="str">
        <x:v>特殊</x:v>
      </x:c>
      <x:c r="G276" s="85" t="str">
        <x:v>単体対象</x:v>
      </x:c>
      <x:c r="H276" s="87" t="b">
        <x:v>1</x:v>
      </x:c>
      <x:c r="I276" s="88"/>
      <x:c r="J276" s="89"/>
      <x:c r="K276" s="88"/>
      <x:c r="L276" s="90" t="n">
        <x:v>0</x:v>
      </x:c>
      <x:c r="M276" s="88"/>
      <x:c r="N276" s="91" t="n">
        <x:v>2</x:v>
      </x:c>
      <x:c r="O276" s="92" t="b">
        <x:v>0</x:v>
      </x:c>
      <x:c r="P276" s="88"/>
    </x:row>
    <x:row r="277">
      <x:c r="A277" s="56" t="str">
        <x:v>mach-punch</x:v>
      </x:c>
      <x:c r="B277" s="56" t="str">
        <x:v>マッハパンチ</x:v>
      </x:c>
      <x:c r="C277" s="56" t="str">
        <x:v>Mach Punch</x:v>
      </x:c>
      <x:c r="D277" s="85" t="str">
        <x:v>かくとう</x:v>
      </x:c>
      <x:c r="E277" s="86" t="n">
        <x:v>40</x:v>
      </x:c>
      <x:c r="F277" s="85" t="str">
        <x:v>物理</x:v>
      </x:c>
      <x:c r="G277" s="85" t="str">
        <x:v>単体対象</x:v>
      </x:c>
      <x:c r="H277" s="87" t="b">
        <x:v>1</x:v>
      </x:c>
      <x:c r="I277" s="88"/>
      <x:c r="J277" s="89"/>
      <x:c r="K277" s="88"/>
      <x:c r="L277" s="90" t="n">
        <x:v>1</x:v>
      </x:c>
      <x:c r="M277" s="88"/>
      <x:c r="N277" s="91" t="n">
        <x:v>24</x:v>
      </x:c>
      <x:c r="O277" s="92" t="b">
        <x:v>0</x:v>
      </x:c>
      <x:c r="P277" s="88"/>
    </x:row>
    <x:row r="278">
      <x:c r="A278" s="56" t="str">
        <x:v>magical-leaf</x:v>
      </x:c>
      <x:c r="B278" s="56" t="str">
        <x:v>マジカルリーフ</x:v>
      </x:c>
      <x:c r="C278" s="56" t="str">
        <x:v>Magical Leaf</x:v>
      </x:c>
      <x:c r="D278" s="85" t="str">
        <x:v>くさ</x:v>
      </x:c>
      <x:c r="E278" s="86" t="n">
        <x:v>60</x:v>
      </x:c>
      <x:c r="F278" s="85" t="str">
        <x:v>特殊</x:v>
      </x:c>
      <x:c r="G278" s="85" t="str">
        <x:v>単体対象</x:v>
      </x:c>
      <x:c r="H278" s="87" t="b">
        <x:v>1</x:v>
      </x:c>
      <x:c r="I278" s="88"/>
      <x:c r="J278" s="89"/>
      <x:c r="K278" s="88"/>
      <x:c r="L278" s="90" t="n">
        <x:v>0</x:v>
      </x:c>
      <x:c r="M278" s="88"/>
      <x:c r="N278" s="91" t="n">
        <x:v>151</x:v>
      </x:c>
      <x:c r="O278" s="92" t="b">
        <x:v>0</x:v>
      </x:c>
      <x:c r="P278" s="88"/>
    </x:row>
    <x:row r="279">
      <x:c r="A279" s="56" t="str">
        <x:v>magma-storm</x:v>
      </x:c>
      <x:c r="B279" s="56" t="str">
        <x:v>マグマストーム</x:v>
      </x:c>
      <x:c r="C279" s="56" t="str">
        <x:v>Magma Storm</x:v>
      </x:c>
      <x:c r="D279" s="85" t="str">
        <x:v>ほのお</x:v>
      </x:c>
      <x:c r="E279" s="86" t="n">
        <x:v>100</x:v>
      </x:c>
      <x:c r="F279" s="85" t="str">
        <x:v>特殊</x:v>
      </x:c>
      <x:c r="G279" s="85" t="str">
        <x:v>単体対象</x:v>
      </x:c>
      <x:c r="H279" s="87" t="b">
        <x:v>1</x:v>
      </x:c>
      <x:c r="I279" s="88"/>
      <x:c r="J279" s="89"/>
      <x:c r="K279" s="88"/>
      <x:c r="L279" s="90" t="n">
        <x:v>0</x:v>
      </x:c>
      <x:c r="M279" s="88"/>
      <x:c r="N279" s="91" t="n">
        <x:v>1</x:v>
      </x:c>
      <x:c r="O279" s="92" t="b">
        <x:v>0</x:v>
      </x:c>
      <x:c r="P279" s="88"/>
    </x:row>
    <x:row r="280">
      <x:c r="A280" s="56" t="str">
        <x:v>magnet-bomb</x:v>
      </x:c>
      <x:c r="B280" s="56" t="str">
        <x:v>マグネットボム</x:v>
      </x:c>
      <x:c r="C280" s="56" t="str">
        <x:v>Magnet Bomb</x:v>
      </x:c>
      <x:c r="D280" s="85" t="str">
        <x:v>はがね</x:v>
      </x:c>
      <x:c r="E280" s="86" t="n">
        <x:v>60</x:v>
      </x:c>
      <x:c r="F280" s="85" t="str">
        <x:v>物理</x:v>
      </x:c>
      <x:c r="G280" s="85" t="str">
        <x:v>単体対象</x:v>
      </x:c>
      <x:c r="H280" s="87" t="b">
        <x:v>1</x:v>
      </x:c>
      <x:c r="I280" s="88"/>
      <x:c r="J280" s="89"/>
      <x:c r="K280" s="88"/>
      <x:c r="L280" s="90" t="n">
        <x:v>0</x:v>
      </x:c>
      <x:c r="M280" s="88"/>
      <x:c r="N280" s="91" t="n">
        <x:v>5</x:v>
      </x:c>
      <x:c r="O280" s="92" t="b">
        <x:v>0</x:v>
      </x:c>
      <x:c r="P280" s="88"/>
    </x:row>
    <x:row r="281">
      <x:c r="A281" s="56" t="str">
        <x:v>make-it-rain</x:v>
      </x:c>
      <x:c r="B281" s="56" t="str">
        <x:v>ゴールドラッシュ</x:v>
      </x:c>
      <x:c r="C281" s="56" t="str">
        <x:v>Make It Rain</x:v>
      </x:c>
      <x:c r="D281" s="85" t="str">
        <x:v>はがね</x:v>
      </x:c>
      <x:c r="E281" s="86" t="n">
        <x:v>120</x:v>
      </x:c>
      <x:c r="F281" s="85" t="str">
        <x:v>特殊</x:v>
      </x:c>
      <x:c r="G281" s="85" t="str">
        <x:v>複数対象</x:v>
      </x:c>
      <x:c r="H281" s="87" t="b">
        <x:v>1</x:v>
      </x:c>
      <x:c r="I281" s="88"/>
      <x:c r="J281" s="89"/>
      <x:c r="K281" s="88"/>
      <x:c r="L281" s="90" t="n">
        <x:v>0</x:v>
      </x:c>
      <x:c r="M281" s="88"/>
      <x:c r="N281" s="91" t="n">
        <x:v>1</x:v>
      </x:c>
      <x:c r="O281" s="92" t="b">
        <x:v>1</x:v>
      </x:c>
      <x:c r="P281" s="88"/>
    </x:row>
    <x:row r="282">
      <x:c r="A282" s="56" t="str">
        <x:v>malignant-chain</x:v>
      </x:c>
      <x:c r="B282" s="56" t="str">
        <x:v>じゃどくのくさり</x:v>
      </x:c>
      <x:c r="C282" s="56" t="str">
        <x:v>Malignant Chain</x:v>
      </x:c>
      <x:c r="D282" s="85" t="str">
        <x:v>どく</x:v>
      </x:c>
      <x:c r="E282" s="86" t="n">
        <x:v>100</x:v>
      </x:c>
      <x:c r="F282" s="85" t="str">
        <x:v>特殊</x:v>
      </x:c>
      <x:c r="G282" s="85" t="str">
        <x:v>単体対象</x:v>
      </x:c>
      <x:c r="H282" s="87" t="b">
        <x:v>1</x:v>
      </x:c>
      <x:c r="I282" s="88"/>
      <x:c r="J282" s="89"/>
      <x:c r="K282" s="88"/>
      <x:c r="L282" s="90" t="n">
        <x:v>0</x:v>
      </x:c>
      <x:c r="M282" s="88"/>
      <x:c r="N282" s="91" t="n">
        <x:v>1</x:v>
      </x:c>
      <x:c r="O282" s="92" t="b">
        <x:v>0</x:v>
      </x:c>
      <x:c r="P282" s="88"/>
    </x:row>
    <x:row r="283">
      <x:c r="A283" s="56" t="str">
        <x:v>matcha-gotcha</x:v>
      </x:c>
      <x:c r="B283" s="56" t="str">
        <x:v>シャカシャカほう</x:v>
      </x:c>
      <x:c r="C283" s="56" t="str">
        <x:v>Matcha Gotcha</x:v>
      </x:c>
      <x:c r="D283" s="85" t="str">
        <x:v>くさ</x:v>
      </x:c>
      <x:c r="E283" s="86" t="n">
        <x:v>80</x:v>
      </x:c>
      <x:c r="F283" s="85" t="str">
        <x:v>特殊</x:v>
      </x:c>
      <x:c r="G283" s="85" t="str">
        <x:v>単体対象</x:v>
      </x:c>
      <x:c r="H283" s="87" t="b">
        <x:v>1</x:v>
      </x:c>
      <x:c r="I283" s="88"/>
      <x:c r="J283" s="89"/>
      <x:c r="K283" s="88"/>
      <x:c r="L283" s="90" t="n">
        <x:v>0</x:v>
      </x:c>
      <x:c r="M283" s="88"/>
      <x:c r="N283" s="91" t="n">
        <x:v>1</x:v>
      </x:c>
      <x:c r="O283" s="92" t="b">
        <x:v>0</x:v>
      </x:c>
      <x:c r="P283" s="88"/>
    </x:row>
    <x:row r="284">
      <x:c r="A284" s="56" t="str">
        <x:v>mega-drain</x:v>
      </x:c>
      <x:c r="B284" s="56" t="str">
        <x:v>メガドレイン</x:v>
      </x:c>
      <x:c r="C284" s="56" t="str">
        <x:v>Mega Drain</x:v>
      </x:c>
      <x:c r="D284" s="85" t="str">
        <x:v>くさ</x:v>
      </x:c>
      <x:c r="E284" s="86" t="n">
        <x:v>40</x:v>
      </x:c>
      <x:c r="F284" s="85" t="str">
        <x:v>特殊</x:v>
      </x:c>
      <x:c r="G284" s="85" t="str">
        <x:v>単体対象</x:v>
      </x:c>
      <x:c r="H284" s="87" t="b">
        <x:v>1</x:v>
      </x:c>
      <x:c r="I284" s="88"/>
      <x:c r="J284" s="89"/>
      <x:c r="K284" s="88"/>
      <x:c r="L284" s="90" t="n">
        <x:v>0</x:v>
      </x:c>
      <x:c r="M284" s="88"/>
      <x:c r="N284" s="91" t="n">
        <x:v>102</x:v>
      </x:c>
      <x:c r="O284" s="92" t="b">
        <x:v>0</x:v>
      </x:c>
      <x:c r="P284" s="88"/>
    </x:row>
    <x:row r="285">
      <x:c r="A285" s="56" t="str">
        <x:v>mega-kick</x:v>
      </x:c>
      <x:c r="B285" s="56" t="str">
        <x:v>メガトンキック</x:v>
      </x:c>
      <x:c r="C285" s="56" t="str">
        <x:v>Mega Kick</x:v>
      </x:c>
      <x:c r="D285" s="85" t="str">
        <x:v>ノーマル</x:v>
      </x:c>
      <x:c r="E285" s="86" t="n">
        <x:v>120</x:v>
      </x:c>
      <x:c r="F285" s="85" t="str">
        <x:v>物理</x:v>
      </x:c>
      <x:c r="G285" s="85" t="str">
        <x:v>単体対象</x:v>
      </x:c>
      <x:c r="H285" s="87" t="b">
        <x:v>1</x:v>
      </x:c>
      <x:c r="I285" s="88"/>
      <x:c r="J285" s="89"/>
      <x:c r="K285" s="88"/>
      <x:c r="L285" s="90" t="n">
        <x:v>0</x:v>
      </x:c>
      <x:c r="M285" s="88"/>
      <x:c r="N285" s="91" t="n">
        <x:v>257</x:v>
      </x:c>
      <x:c r="O285" s="92" t="b">
        <x:v>0</x:v>
      </x:c>
      <x:c r="P285" s="88"/>
    </x:row>
    <x:row r="286">
      <x:c r="A286" s="56" t="str">
        <x:v>mega-punch</x:v>
      </x:c>
      <x:c r="B286" s="56" t="str">
        <x:v>メガトンパンチ</x:v>
      </x:c>
      <x:c r="C286" s="56" t="str">
        <x:v>Mega Punch</x:v>
      </x:c>
      <x:c r="D286" s="85" t="str">
        <x:v>ノーマル</x:v>
      </x:c>
      <x:c r="E286" s="86" t="n">
        <x:v>80</x:v>
      </x:c>
      <x:c r="F286" s="85" t="str">
        <x:v>物理</x:v>
      </x:c>
      <x:c r="G286" s="85" t="str">
        <x:v>単体対象</x:v>
      </x:c>
      <x:c r="H286" s="87" t="b">
        <x:v>1</x:v>
      </x:c>
      <x:c r="I286" s="88"/>
      <x:c r="J286" s="89"/>
      <x:c r="K286" s="88"/>
      <x:c r="L286" s="90" t="n">
        <x:v>0</x:v>
      </x:c>
      <x:c r="M286" s="88"/>
      <x:c r="N286" s="91" t="n">
        <x:v>231</x:v>
      </x:c>
      <x:c r="O286" s="92" t="b">
        <x:v>0</x:v>
      </x:c>
      <x:c r="P286" s="88"/>
    </x:row>
    <x:row r="287">
      <x:c r="A287" s="56" t="str">
        <x:v>megahorn</x:v>
      </x:c>
      <x:c r="B287" s="56" t="str">
        <x:v>メガホーン</x:v>
      </x:c>
      <x:c r="C287" s="56" t="str">
        <x:v>Megahorn</x:v>
      </x:c>
      <x:c r="D287" s="85" t="str">
        <x:v>むし</x:v>
      </x:c>
      <x:c r="E287" s="86" t="n">
        <x:v>120</x:v>
      </x:c>
      <x:c r="F287" s="85" t="str">
        <x:v>物理</x:v>
      </x:c>
      <x:c r="G287" s="85" t="str">
        <x:v>単体対象</x:v>
      </x:c>
      <x:c r="H287" s="87" t="b">
        <x:v>1</x:v>
      </x:c>
      <x:c r="I287" s="88"/>
      <x:c r="J287" s="89"/>
      <x:c r="K287" s="88"/>
      <x:c r="L287" s="90" t="n">
        <x:v>0</x:v>
      </x:c>
      <x:c r="M287" s="88"/>
      <x:c r="N287" s="91" t="n">
        <x:v>50</x:v>
      </x:c>
      <x:c r="O287" s="92" t="b">
        <x:v>0</x:v>
      </x:c>
      <x:c r="P287" s="88"/>
    </x:row>
    <x:row r="288">
      <x:c r="A288" s="56" t="str">
        <x:v>metal-claw</x:v>
      </x:c>
      <x:c r="B288" s="56" t="str">
        <x:v>メタルクロー</x:v>
      </x:c>
      <x:c r="C288" s="56" t="str">
        <x:v>Metal Claw</x:v>
      </x:c>
      <x:c r="D288" s="85" t="str">
        <x:v>はがね</x:v>
      </x:c>
      <x:c r="E288" s="86" t="n">
        <x:v>50</x:v>
      </x:c>
      <x:c r="F288" s="85" t="str">
        <x:v>物理</x:v>
      </x:c>
      <x:c r="G288" s="85" t="str">
        <x:v>単体対象</x:v>
      </x:c>
      <x:c r="H288" s="87" t="b">
        <x:v>1</x:v>
      </x:c>
      <x:c r="I288" s="88"/>
      <x:c r="J288" s="89"/>
      <x:c r="K288" s="88"/>
      <x:c r="L288" s="90" t="n">
        <x:v>0</x:v>
      </x:c>
      <x:c r="M288" s="88"/>
      <x:c r="N288" s="91" t="n">
        <x:v>118</x:v>
      </x:c>
      <x:c r="O288" s="92" t="b">
        <x:v>0</x:v>
      </x:c>
      <x:c r="P288" s="88"/>
    </x:row>
    <x:row r="289">
      <x:c r="A289" s="56" t="str">
        <x:v>meteor-assault</x:v>
      </x:c>
      <x:c r="B289" s="56" t="str">
        <x:v>スターアサルト</x:v>
      </x:c>
      <x:c r="C289" s="56" t="str">
        <x:v>Meteor Assault</x:v>
      </x:c>
      <x:c r="D289" s="85" t="str">
        <x:v>かくとう</x:v>
      </x:c>
      <x:c r="E289" s="86" t="n">
        <x:v>150</x:v>
      </x:c>
      <x:c r="F289" s="85" t="str">
        <x:v>物理</x:v>
      </x:c>
      <x:c r="G289" s="85" t="str">
        <x:v>単体対象</x:v>
      </x:c>
      <x:c r="H289" s="87" t="b">
        <x:v>1</x:v>
      </x:c>
      <x:c r="I289" s="88"/>
      <x:c r="J289" s="89"/>
      <x:c r="K289" s="88"/>
      <x:c r="L289" s="90" t="n">
        <x:v>0</x:v>
      </x:c>
      <x:c r="M289" s="88"/>
      <x:c r="N289" s="91" t="n">
        <x:v>1</x:v>
      </x:c>
      <x:c r="O289" s="92" t="b">
        <x:v>0</x:v>
      </x:c>
      <x:c r="P289" s="88"/>
    </x:row>
    <x:row r="290">
      <x:c r="A290" s="56" t="str">
        <x:v>meteor-beam</x:v>
      </x:c>
      <x:c r="B290" s="56" t="str">
        <x:v>メテオビーム</x:v>
      </x:c>
      <x:c r="C290" s="56" t="str">
        <x:v>Meteor Beam</x:v>
      </x:c>
      <x:c r="D290" s="85" t="str">
        <x:v>いわ</x:v>
      </x:c>
      <x:c r="E290" s="86" t="n">
        <x:v>120</x:v>
      </x:c>
      <x:c r="F290" s="85" t="str">
        <x:v>特殊</x:v>
      </x:c>
      <x:c r="G290" s="85" t="str">
        <x:v>単体対象</x:v>
      </x:c>
      <x:c r="H290" s="87" t="b">
        <x:v>1</x:v>
      </x:c>
      <x:c r="I290" s="88"/>
      <x:c r="J290" s="89"/>
      <x:c r="K290" s="88"/>
      <x:c r="L290" s="90" t="n">
        <x:v>0</x:v>
      </x:c>
      <x:c r="M290" s="88"/>
      <x:c r="N290" s="91" t="n">
        <x:v>118</x:v>
      </x:c>
      <x:c r="O290" s="92" t="b">
        <x:v>0</x:v>
      </x:c>
      <x:c r="P290" s="88"/>
    </x:row>
    <x:row r="291">
      <x:c r="A291" s="56" t="str">
        <x:v>meteor-mash</x:v>
      </x:c>
      <x:c r="B291" s="56" t="str">
        <x:v>コメットパンチ</x:v>
      </x:c>
      <x:c r="C291" s="56" t="str">
        <x:v>Meteor Mash</x:v>
      </x:c>
      <x:c r="D291" s="85" t="str">
        <x:v>はがね</x:v>
      </x:c>
      <x:c r="E291" s="86" t="n">
        <x:v>90</x:v>
      </x:c>
      <x:c r="F291" s="85" t="str">
        <x:v>物理</x:v>
      </x:c>
      <x:c r="G291" s="85" t="str">
        <x:v>単体対象</x:v>
      </x:c>
      <x:c r="H291" s="87" t="b">
        <x:v>1</x:v>
      </x:c>
      <x:c r="I291" s="88"/>
      <x:c r="J291" s="89"/>
      <x:c r="K291" s="88"/>
      <x:c r="L291" s="90" t="n">
        <x:v>0</x:v>
      </x:c>
      <x:c r="M291" s="88"/>
      <x:c r="N291" s="91" t="n">
        <x:v>11</x:v>
      </x:c>
      <x:c r="O291" s="92" t="b">
        <x:v>0</x:v>
      </x:c>
      <x:c r="P291" s="88"/>
    </x:row>
    <x:row r="292">
      <x:c r="A292" s="56" t="str">
        <x:v>mighty-cleave</x:v>
      </x:c>
      <x:c r="B292" s="56" t="str">
        <x:v>パワフルエッジ</x:v>
      </x:c>
      <x:c r="C292" s="56" t="str">
        <x:v>Mighty Cleave</x:v>
      </x:c>
      <x:c r="D292" s="85" t="str">
        <x:v>いわ</x:v>
      </x:c>
      <x:c r="E292" s="86" t="n">
        <x:v>95</x:v>
      </x:c>
      <x:c r="F292" s="85" t="str">
        <x:v>物理</x:v>
      </x:c>
      <x:c r="G292" s="85" t="str">
        <x:v>単体対象</x:v>
      </x:c>
      <x:c r="H292" s="87" t="b">
        <x:v>1</x:v>
      </x:c>
      <x:c r="I292" s="88"/>
      <x:c r="J292" s="89"/>
      <x:c r="K292" s="88"/>
      <x:c r="L292" s="90" t="n">
        <x:v>0</x:v>
      </x:c>
      <x:c r="M292" s="88"/>
      <x:c r="N292" s="91" t="n">
        <x:v>1</x:v>
      </x:c>
      <x:c r="O292" s="92" t="b">
        <x:v>0</x:v>
      </x:c>
      <x:c r="P292" s="88"/>
    </x:row>
    <x:row r="293">
      <x:c r="A293" s="56" t="str">
        <x:v>mind-blown</x:v>
      </x:c>
      <x:c r="B293" s="56" t="str">
        <x:v>ビックリヘッド</x:v>
      </x:c>
      <x:c r="C293" s="56" t="str">
        <x:v>Mind Blown</x:v>
      </x:c>
      <x:c r="D293" s="85" t="str">
        <x:v>ほのお</x:v>
      </x:c>
      <x:c r="E293" s="86" t="n">
        <x:v>150</x:v>
      </x:c>
      <x:c r="F293" s="85" t="str">
        <x:v>特殊</x:v>
      </x:c>
      <x:c r="G293" s="85" t="str">
        <x:v>複数対象</x:v>
      </x:c>
      <x:c r="H293" s="87" t="b">
        <x:v>1</x:v>
      </x:c>
      <x:c r="I293" s="88"/>
      <x:c r="J293" s="89"/>
      <x:c r="K293" s="88"/>
      <x:c r="L293" s="90" t="n">
        <x:v>0</x:v>
      </x:c>
      <x:c r="M293" s="88"/>
      <x:c r="N293" s="91" t="n">
        <x:v>1</x:v>
      </x:c>
      <x:c r="O293" s="92" t="b">
        <x:v>1</x:v>
      </x:c>
      <x:c r="P293" s="88"/>
    </x:row>
    <x:row r="294">
      <x:c r="A294" s="56" t="str">
        <x:v>mirror-shot</x:v>
      </x:c>
      <x:c r="B294" s="56" t="str">
        <x:v>ミラーショット</x:v>
      </x:c>
      <x:c r="C294" s="56" t="str">
        <x:v>Mirror Shot</x:v>
      </x:c>
      <x:c r="D294" s="85" t="str">
        <x:v>はがね</x:v>
      </x:c>
      <x:c r="E294" s="86" t="n">
        <x:v>65</x:v>
      </x:c>
      <x:c r="F294" s="85" t="str">
        <x:v>特殊</x:v>
      </x:c>
      <x:c r="G294" s="85" t="str">
        <x:v>単体対象</x:v>
      </x:c>
      <x:c r="H294" s="87" t="b">
        <x:v>1</x:v>
      </x:c>
      <x:c r="I294" s="88"/>
      <x:c r="J294" s="89"/>
      <x:c r="K294" s="88"/>
      <x:c r="L294" s="90" t="n">
        <x:v>0</x:v>
      </x:c>
      <x:c r="M294" s="88"/>
      <x:c r="N294" s="91" t="n">
        <x:v>20</x:v>
      </x:c>
      <x:c r="O294" s="92" t="b">
        <x:v>0</x:v>
      </x:c>
      <x:c r="P294" s="88"/>
    </x:row>
    <x:row r="295">
      <x:c r="A295" s="56" t="str">
        <x:v>mist-ball</x:v>
      </x:c>
      <x:c r="B295" s="56" t="str">
        <x:v>ミストボール</x:v>
      </x:c>
      <x:c r="C295" s="56" t="str">
        <x:v>Mist Ball</x:v>
      </x:c>
      <x:c r="D295" s="85" t="str">
        <x:v>エスパー</x:v>
      </x:c>
      <x:c r="E295" s="86" t="n">
        <x:v>95</x:v>
      </x:c>
      <x:c r="F295" s="85" t="str">
        <x:v>特殊</x:v>
      </x:c>
      <x:c r="G295" s="85" t="str">
        <x:v>単体対象</x:v>
      </x:c>
      <x:c r="H295" s="87" t="b">
        <x:v>1</x:v>
      </x:c>
      <x:c r="I295" s="88"/>
      <x:c r="J295" s="89"/>
      <x:c r="K295" s="88"/>
      <x:c r="L295" s="90" t="n">
        <x:v>0</x:v>
      </x:c>
      <x:c r="M295" s="88"/>
      <x:c r="N295" s="91" t="n">
        <x:v>2</x:v>
      </x:c>
      <x:c r="O295" s="92" t="b">
        <x:v>0</x:v>
      </x:c>
      <x:c r="P295" s="88"/>
    </x:row>
    <x:row r="296">
      <x:c r="A296" s="56" t="str">
        <x:v>misty-explosion</x:v>
      </x:c>
      <x:c r="B296" s="56" t="str">
        <x:v>ミストバースト</x:v>
      </x:c>
      <x:c r="C296" s="56" t="str">
        <x:v>Misty Explosion</x:v>
      </x:c>
      <x:c r="D296" s="85" t="str">
        <x:v>フェアリー</x:v>
      </x:c>
      <x:c r="E296" s="86" t="n">
        <x:v>100</x:v>
      </x:c>
      <x:c r="F296" s="85" t="str">
        <x:v>特殊</x:v>
      </x:c>
      <x:c r="G296" s="85" t="str">
        <x:v>複数対象</x:v>
      </x:c>
      <x:c r="H296" s="87" t="b">
        <x:v>1</x:v>
      </x:c>
      <x:c r="I296" s="88"/>
      <x:c r="J296" s="89"/>
      <x:c r="K296" s="88"/>
      <x:c r="L296" s="90" t="n">
        <x:v>0</x:v>
      </x:c>
      <x:c r="M296" s="88"/>
      <x:c r="N296" s="91" t="n">
        <x:v>29</x:v>
      </x:c>
      <x:c r="O296" s="92" t="b">
        <x:v>1</x:v>
      </x:c>
      <x:c r="P296" s="88"/>
    </x:row>
    <x:row r="297">
      <x:c r="A297" s="56" t="str">
        <x:v>moonblast</x:v>
      </x:c>
      <x:c r="B297" s="56" t="str">
        <x:v>ムーンフォース</x:v>
      </x:c>
      <x:c r="C297" s="56" t="str">
        <x:v>Moonblast</x:v>
      </x:c>
      <x:c r="D297" s="85" t="str">
        <x:v>フェアリー</x:v>
      </x:c>
      <x:c r="E297" s="86" t="n">
        <x:v>95</x:v>
      </x:c>
      <x:c r="F297" s="85" t="str">
        <x:v>特殊</x:v>
      </x:c>
      <x:c r="G297" s="85" t="str">
        <x:v>単体対象</x:v>
      </x:c>
      <x:c r="H297" s="87" t="b">
        <x:v>1</x:v>
      </x:c>
      <x:c r="I297" s="88"/>
      <x:c r="J297" s="89"/>
      <x:c r="K297" s="88"/>
      <x:c r="L297" s="90" t="n">
        <x:v>0</x:v>
      </x:c>
      <x:c r="M297" s="88"/>
      <x:c r="N297" s="91" t="n">
        <x:v>65</x:v>
      </x:c>
      <x:c r="O297" s="92" t="b">
        <x:v>0</x:v>
      </x:c>
      <x:c r="P297" s="88"/>
    </x:row>
    <x:row r="298">
      <x:c r="A298" s="56" t="str">
        <x:v>moongeist-beam</x:v>
      </x:c>
      <x:c r="B298" s="56" t="str">
        <x:v>シャドーレイ</x:v>
      </x:c>
      <x:c r="C298" s="56" t="str">
        <x:v>Moongeist Beam</x:v>
      </x:c>
      <x:c r="D298" s="85" t="str">
        <x:v>ゴースト</x:v>
      </x:c>
      <x:c r="E298" s="86" t="n">
        <x:v>100</x:v>
      </x:c>
      <x:c r="F298" s="85" t="str">
        <x:v>特殊</x:v>
      </x:c>
      <x:c r="G298" s="85" t="str">
        <x:v>単体対象</x:v>
      </x:c>
      <x:c r="H298" s="87" t="b">
        <x:v>1</x:v>
      </x:c>
      <x:c r="I298" s="88"/>
      <x:c r="J298" s="89"/>
      <x:c r="K298" s="88"/>
      <x:c r="L298" s="90" t="n">
        <x:v>0</x:v>
      </x:c>
      <x:c r="M298" s="88"/>
      <x:c r="N298" s="91" t="n">
        <x:v>1</x:v>
      </x:c>
      <x:c r="O298" s="92" t="b">
        <x:v>0</x:v>
      </x:c>
      <x:c r="P298" s="88"/>
    </x:row>
    <x:row r="299">
      <x:c r="A299" s="56" t="str">
        <x:v>mortal-spin</x:v>
      </x:c>
      <x:c r="B299" s="56" t="str">
        <x:v>キラースピン</x:v>
      </x:c>
      <x:c r="C299" s="56" t="str">
        <x:v>Mortal Spin</x:v>
      </x:c>
      <x:c r="D299" s="85" t="str">
        <x:v>どく</x:v>
      </x:c>
      <x:c r="E299" s="86" t="n">
        <x:v>30</x:v>
      </x:c>
      <x:c r="F299" s="85" t="str">
        <x:v>物理</x:v>
      </x:c>
      <x:c r="G299" s="85" t="str">
        <x:v>複数対象</x:v>
      </x:c>
      <x:c r="H299" s="87" t="b">
        <x:v>1</x:v>
      </x:c>
      <x:c r="I299" s="88"/>
      <x:c r="J299" s="89"/>
      <x:c r="K299" s="88"/>
      <x:c r="L299" s="90" t="n">
        <x:v>0</x:v>
      </x:c>
      <x:c r="M299" s="88"/>
      <x:c r="N299" s="91" t="n">
        <x:v>2</x:v>
      </x:c>
      <x:c r="O299" s="92" t="b">
        <x:v>1</x:v>
      </x:c>
      <x:c r="P299" s="88"/>
    </x:row>
    <x:row r="300">
      <x:c r="A300" s="56" t="str">
        <x:v>mountain-gale</x:v>
      </x:c>
      <x:c r="B300" s="56" t="str">
        <x:v>ひょうざんおろし</x:v>
      </x:c>
      <x:c r="C300" s="56" t="str">
        <x:v>Mountain Gale</x:v>
      </x:c>
      <x:c r="D300" s="85" t="str">
        <x:v>こおり</x:v>
      </x:c>
      <x:c r="E300" s="86" t="n">
        <x:v>100</x:v>
      </x:c>
      <x:c r="F300" s="85" t="str">
        <x:v>物理</x:v>
      </x:c>
      <x:c r="G300" s="85" t="str">
        <x:v>単体対象</x:v>
      </x:c>
      <x:c r="H300" s="87" t="b">
        <x:v>1</x:v>
      </x:c>
      <x:c r="I300" s="88"/>
      <x:c r="J300" s="89"/>
      <x:c r="K300" s="88"/>
      <x:c r="L300" s="90" t="n">
        <x:v>0</x:v>
      </x:c>
      <x:c r="M300" s="88"/>
      <x:c r="N300" s="91" t="n">
        <x:v>1</x:v>
      </x:c>
      <x:c r="O300" s="92" t="b">
        <x:v>0</x:v>
      </x:c>
      <x:c r="P300" s="88"/>
    </x:row>
    <x:row r="301">
      <x:c r="A301" s="56" t="str">
        <x:v>mud-bomb</x:v>
      </x:c>
      <x:c r="B301" s="56" t="str">
        <x:v>どろばくだん</x:v>
      </x:c>
      <x:c r="C301" s="56" t="str">
        <x:v>Mud Bomb</x:v>
      </x:c>
      <x:c r="D301" s="85" t="str">
        <x:v>じめん</x:v>
      </x:c>
      <x:c r="E301" s="86" t="n">
        <x:v>65</x:v>
      </x:c>
      <x:c r="F301" s="85" t="str">
        <x:v>特殊</x:v>
      </x:c>
      <x:c r="G301" s="85" t="str">
        <x:v>単体対象</x:v>
      </x:c>
      <x:c r="H301" s="87" t="b">
        <x:v>1</x:v>
      </x:c>
      <x:c r="I301" s="88"/>
      <x:c r="J301" s="89"/>
      <x:c r="K301" s="88"/>
      <x:c r="L301" s="90" t="n">
        <x:v>0</x:v>
      </x:c>
      <x:c r="M301" s="88"/>
      <x:c r="N301" s="91" t="n">
        <x:v>39</x:v>
      </x:c>
      <x:c r="O301" s="92" t="b">
        <x:v>0</x:v>
      </x:c>
      <x:c r="P301" s="88"/>
    </x:row>
    <x:row r="302">
      <x:c r="A302" s="56" t="str">
        <x:v>mud-shot</x:v>
      </x:c>
      <x:c r="B302" s="56" t="str">
        <x:v>マッドショット</x:v>
      </x:c>
      <x:c r="C302" s="56" t="str">
        <x:v>Mud Shot</x:v>
      </x:c>
      <x:c r="D302" s="85" t="str">
        <x:v>じめん</x:v>
      </x:c>
      <x:c r="E302" s="86" t="n">
        <x:v>55</x:v>
      </x:c>
      <x:c r="F302" s="85" t="str">
        <x:v>特殊</x:v>
      </x:c>
      <x:c r="G302" s="85" t="str">
        <x:v>単体対象</x:v>
      </x:c>
      <x:c r="H302" s="87" t="b">
        <x:v>1</x:v>
      </x:c>
      <x:c r="I302" s="88"/>
      <x:c r="J302" s="89"/>
      <x:c r="K302" s="88"/>
      <x:c r="L302" s="90" t="n">
        <x:v>0</x:v>
      </x:c>
      <x:c r="M302" s="88"/>
      <x:c r="N302" s="91" t="n">
        <x:v>293</x:v>
      </x:c>
      <x:c r="O302" s="92" t="b">
        <x:v>0</x:v>
      </x:c>
      <x:c r="P302" s="88"/>
    </x:row>
    <x:row r="303">
      <x:c r="A303" s="56" t="str">
        <x:v>mud-slap</x:v>
      </x:c>
      <x:c r="B303" s="56" t="str">
        <x:v>どろかけ</x:v>
      </x:c>
      <x:c r="C303" s="56" t="str">
        <x:v>Mud-Slap</x:v>
      </x:c>
      <x:c r="D303" s="85" t="str">
        <x:v>じめん</x:v>
      </x:c>
      <x:c r="E303" s="86" t="n">
        <x:v>20</x:v>
      </x:c>
      <x:c r="F303" s="85" t="str">
        <x:v>特殊</x:v>
      </x:c>
      <x:c r="G303" s="85" t="str">
        <x:v>単体対象</x:v>
      </x:c>
      <x:c r="H303" s="87" t="b">
        <x:v>1</x:v>
      </x:c>
      <x:c r="I303" s="88"/>
      <x:c r="J303" s="89"/>
      <x:c r="K303" s="88"/>
      <x:c r="L303" s="90" t="n">
        <x:v>0</x:v>
      </x:c>
      <x:c r="M303" s="88"/>
      <x:c r="N303" s="91" t="n">
        <x:v>519</x:v>
      </x:c>
      <x:c r="O303" s="92" t="b">
        <x:v>0</x:v>
      </x:c>
      <x:c r="P303" s="88"/>
    </x:row>
    <x:row r="304">
      <x:c r="A304" s="56" t="str">
        <x:v>muddy-water</x:v>
      </x:c>
      <x:c r="B304" s="56" t="str">
        <x:v>だくりゅう</x:v>
      </x:c>
      <x:c r="C304" s="56" t="str">
        <x:v>Muddy Water</x:v>
      </x:c>
      <x:c r="D304" s="85" t="str">
        <x:v>みず</x:v>
      </x:c>
      <x:c r="E304" s="86" t="n">
        <x:v>90</x:v>
      </x:c>
      <x:c r="F304" s="85" t="str">
        <x:v>特殊</x:v>
      </x:c>
      <x:c r="G304" s="85" t="str">
        <x:v>複数対象</x:v>
      </x:c>
      <x:c r="H304" s="87" t="b">
        <x:v>1</x:v>
      </x:c>
      <x:c r="I304" s="88"/>
      <x:c r="J304" s="89"/>
      <x:c r="K304" s="88"/>
      <x:c r="L304" s="90" t="n">
        <x:v>0</x:v>
      </x:c>
      <x:c r="M304" s="88"/>
      <x:c r="N304" s="91" t="n">
        <x:v>119</x:v>
      </x:c>
      <x:c r="O304" s="92" t="b">
        <x:v>1</x:v>
      </x:c>
      <x:c r="P304" s="88"/>
    </x:row>
    <x:row r="305">
      <x:c r="A305" s="56" t="str">
        <x:v>multi-attack</x:v>
      </x:c>
      <x:c r="B305" s="56" t="str">
        <x:v>マルチアタック</x:v>
      </x:c>
      <x:c r="C305" s="56" t="str">
        <x:v>Multi-Attack</x:v>
      </x:c>
      <x:c r="D305" s="85" t="str">
        <x:v>ノーマル</x:v>
      </x:c>
      <x:c r="E305" s="86" t="n">
        <x:v>120</x:v>
      </x:c>
      <x:c r="F305" s="85" t="str">
        <x:v>物理</x:v>
      </x:c>
      <x:c r="G305" s="85" t="str">
        <x:v>単体対象</x:v>
      </x:c>
      <x:c r="H305" s="87" t="b">
        <x:v>1</x:v>
      </x:c>
      <x:c r="I305" s="88"/>
      <x:c r="J305" s="89"/>
      <x:c r="K305" s="88"/>
      <x:c r="L305" s="90" t="n">
        <x:v>0</x:v>
      </x:c>
      <x:c r="M305" s="88"/>
      <x:c r="N305" s="91" t="n">
        <x:v>1</x:v>
      </x:c>
      <x:c r="O305" s="92" t="b">
        <x:v>0</x:v>
      </x:c>
      <x:c r="P305" s="88"/>
    </x:row>
    <x:row r="306">
      <x:c r="A306" s="56" t="str">
        <x:v>mystical-fire</x:v>
      </x:c>
      <x:c r="B306" s="56" t="str">
        <x:v>マジカルフレイム</x:v>
      </x:c>
      <x:c r="C306" s="56" t="str">
        <x:v>Mystical Fire</x:v>
      </x:c>
      <x:c r="D306" s="85" t="str">
        <x:v>ほのお</x:v>
      </x:c>
      <x:c r="E306" s="86" t="n">
        <x:v>75</x:v>
      </x:c>
      <x:c r="F306" s="85" t="str">
        <x:v>特殊</x:v>
      </x:c>
      <x:c r="G306" s="85" t="str">
        <x:v>単体対象</x:v>
      </x:c>
      <x:c r="H306" s="87" t="b">
        <x:v>1</x:v>
      </x:c>
      <x:c r="I306" s="88"/>
      <x:c r="J306" s="89"/>
      <x:c r="K306" s="88"/>
      <x:c r="L306" s="90" t="n">
        <x:v>0</x:v>
      </x:c>
      <x:c r="M306" s="88"/>
      <x:c r="N306" s="91" t="n">
        <x:v>67</x:v>
      </x:c>
      <x:c r="O306" s="92" t="b">
        <x:v>0</x:v>
      </x:c>
      <x:c r="P306" s="88"/>
    </x:row>
    <x:row r="307">
      <x:c r="A307" s="56" t="str">
        <x:v>mystical-power</x:v>
      </x:c>
      <x:c r="B307" s="56" t="str">
        <x:v>しんぴのちから</x:v>
      </x:c>
      <x:c r="C307" s="56" t="str">
        <x:v>Mystical Power</x:v>
      </x:c>
      <x:c r="D307" s="85" t="str">
        <x:v>エスパー</x:v>
      </x:c>
      <x:c r="E307" s="86" t="n">
        <x:v>70</x:v>
      </x:c>
      <x:c r="F307" s="85" t="str">
        <x:v>特殊</x:v>
      </x:c>
      <x:c r="G307" s="85" t="str">
        <x:v>単体対象</x:v>
      </x:c>
      <x:c r="H307" s="87" t="b">
        <x:v>1</x:v>
      </x:c>
      <x:c r="I307" s="88"/>
      <x:c r="J307" s="89"/>
      <x:c r="K307" s="88"/>
      <x:c r="L307" s="90" t="n">
        <x:v>0</x:v>
      </x:c>
      <x:c r="M307" s="88"/>
      <x:c r="N307" s="91" t="n">
        <x:v>3</x:v>
      </x:c>
      <x:c r="O307" s="92" t="b">
        <x:v>0</x:v>
      </x:c>
      <x:c r="P307" s="88"/>
    </x:row>
    <x:row r="308">
      <x:c r="A308" s="56" t="str">
        <x:v>needle-arm</x:v>
      </x:c>
      <x:c r="B308" s="56" t="str">
        <x:v>ニードルアーム</x:v>
      </x:c>
      <x:c r="C308" s="56" t="str">
        <x:v>Needle Arm</x:v>
      </x:c>
      <x:c r="D308" s="85" t="str">
        <x:v>くさ</x:v>
      </x:c>
      <x:c r="E308" s="86" t="n">
        <x:v>60</x:v>
      </x:c>
      <x:c r="F308" s="85" t="str">
        <x:v>物理</x:v>
      </x:c>
      <x:c r="G308" s="85" t="str">
        <x:v>単体対象</x:v>
      </x:c>
      <x:c r="H308" s="87" t="b">
        <x:v>1</x:v>
      </x:c>
      <x:c r="I308" s="88"/>
      <x:c r="J308" s="89"/>
      <x:c r="K308" s="88"/>
      <x:c r="L308" s="90" t="n">
        <x:v>0</x:v>
      </x:c>
      <x:c r="M308" s="88"/>
      <x:c r="N308" s="91" t="n">
        <x:v>5</x:v>
      </x:c>
      <x:c r="O308" s="92" t="b">
        <x:v>0</x:v>
      </x:c>
      <x:c r="P308" s="88"/>
    </x:row>
    <x:row r="309">
      <x:c r="A309" s="56" t="str">
        <x:v>night-daze</x:v>
      </x:c>
      <x:c r="B309" s="56" t="str">
        <x:v>ナイトバースト</x:v>
      </x:c>
      <x:c r="C309" s="56" t="str">
        <x:v>Night Daze</x:v>
      </x:c>
      <x:c r="D309" s="85" t="str">
        <x:v>あく</x:v>
      </x:c>
      <x:c r="E309" s="86" t="n">
        <x:v>85</x:v>
      </x:c>
      <x:c r="F309" s="85" t="str">
        <x:v>特殊</x:v>
      </x:c>
      <x:c r="G309" s="85" t="str">
        <x:v>単体対象</x:v>
      </x:c>
      <x:c r="H309" s="87" t="b">
        <x:v>1</x:v>
      </x:c>
      <x:c r="I309" s="88"/>
      <x:c r="J309" s="89"/>
      <x:c r="K309" s="88"/>
      <x:c r="L309" s="90" t="n">
        <x:v>0</x:v>
      </x:c>
      <x:c r="M309" s="88"/>
      <x:c r="N309" s="91" t="n">
        <x:v>3</x:v>
      </x:c>
      <x:c r="O309" s="92" t="b">
        <x:v>0</x:v>
      </x:c>
      <x:c r="P309" s="88"/>
    </x:row>
    <x:row r="310">
      <x:c r="A310" s="56" t="str">
        <x:v>night-slash</x:v>
      </x:c>
      <x:c r="B310" s="56" t="str">
        <x:v>つじぎり</x:v>
      </x:c>
      <x:c r="C310" s="56" t="str">
        <x:v>Night Slash</x:v>
      </x:c>
      <x:c r="D310" s="85" t="str">
        <x:v>あく</x:v>
      </x:c>
      <x:c r="E310" s="86" t="n">
        <x:v>70</x:v>
      </x:c>
      <x:c r="F310" s="85" t="str">
        <x:v>物理</x:v>
      </x:c>
      <x:c r="G310" s="85" t="str">
        <x:v>単体対象</x:v>
      </x:c>
      <x:c r="H310" s="87" t="b">
        <x:v>1</x:v>
      </x:c>
      <x:c r="I310" s="88"/>
      <x:c r="J310" s="89"/>
      <x:c r="K310" s="88"/>
      <x:c r="L310" s="90" t="n">
        <x:v>0</x:v>
      </x:c>
      <x:c r="M310" s="88"/>
      <x:c r="N310" s="91" t="n">
        <x:v>125</x:v>
      </x:c>
      <x:c r="O310" s="92" t="b">
        <x:v>0</x:v>
      </x:c>
      <x:c r="P310" s="88"/>
    </x:row>
    <x:row r="311">
      <x:c r="A311" s="56" t="str">
        <x:v>nuzzle</x:v>
      </x:c>
      <x:c r="B311" s="56" t="str">
        <x:v>ほっぺすりすり</x:v>
      </x:c>
      <x:c r="C311" s="56" t="str">
        <x:v>Nuzzle</x:v>
      </x:c>
      <x:c r="D311" s="85" t="str">
        <x:v>でんき</x:v>
      </x:c>
      <x:c r="E311" s="86" t="n">
        <x:v>20</x:v>
      </x:c>
      <x:c r="F311" s="85" t="str">
        <x:v>物理</x:v>
      </x:c>
      <x:c r="G311" s="85" t="str">
        <x:v>単体対象</x:v>
      </x:c>
      <x:c r="H311" s="87" t="b">
        <x:v>1</x:v>
      </x:c>
      <x:c r="I311" s="88"/>
      <x:c r="J311" s="89"/>
      <x:c r="K311" s="88"/>
      <x:c r="L311" s="90" t="n">
        <x:v>0</x:v>
      </x:c>
      <x:c r="M311" s="88"/>
      <x:c r="N311" s="91" t="n">
        <x:v>35</x:v>
      </x:c>
      <x:c r="O311" s="92" t="b">
        <x:v>0</x:v>
      </x:c>
      <x:c r="P311" s="88"/>
    </x:row>
    <x:row r="312">
      <x:c r="A312" s="56" t="str">
        <x:v>oblivion-wing</x:v>
      </x:c>
      <x:c r="B312" s="56" t="str">
        <x:v>デスウイング</x:v>
      </x:c>
      <x:c r="C312" s="56" t="str">
        <x:v>Oblivion Wing</x:v>
      </x:c>
      <x:c r="D312" s="85" t="str">
        <x:v>ひこう</x:v>
      </x:c>
      <x:c r="E312" s="86" t="n">
        <x:v>80</x:v>
      </x:c>
      <x:c r="F312" s="85" t="str">
        <x:v>特殊</x:v>
      </x:c>
      <x:c r="G312" s="85" t="str">
        <x:v>単体対象</x:v>
      </x:c>
      <x:c r="H312" s="87" t="b">
        <x:v>1</x:v>
      </x:c>
      <x:c r="I312" s="88"/>
      <x:c r="J312" s="89"/>
      <x:c r="K312" s="88"/>
      <x:c r="L312" s="90" t="n">
        <x:v>0</x:v>
      </x:c>
      <x:c r="M312" s="88"/>
      <x:c r="N312" s="91" t="n">
        <x:v>1</x:v>
      </x:c>
      <x:c r="O312" s="92" t="b">
        <x:v>0</x:v>
      </x:c>
      <x:c r="P312" s="88"/>
    </x:row>
    <x:row r="313">
      <x:c r="A313" s="56" t="str">
        <x:v>octazooka</x:v>
      </x:c>
      <x:c r="B313" s="56" t="str">
        <x:v>オクタンほう</x:v>
      </x:c>
      <x:c r="C313" s="56" t="str">
        <x:v>Octazooka</x:v>
      </x:c>
      <x:c r="D313" s="85" t="str">
        <x:v>みず</x:v>
      </x:c>
      <x:c r="E313" s="86" t="n">
        <x:v>65</x:v>
      </x:c>
      <x:c r="F313" s="85" t="str">
        <x:v>特殊</x:v>
      </x:c>
      <x:c r="G313" s="85" t="str">
        <x:v>単体対象</x:v>
      </x:c>
      <x:c r="H313" s="87" t="b">
        <x:v>1</x:v>
      </x:c>
      <x:c r="I313" s="88"/>
      <x:c r="J313" s="89"/>
      <x:c r="K313" s="88"/>
      <x:c r="L313" s="90" t="n">
        <x:v>0</x:v>
      </x:c>
      <x:c r="M313" s="88"/>
      <x:c r="N313" s="91" t="n">
        <x:v>4</x:v>
      </x:c>
      <x:c r="O313" s="92" t="b">
        <x:v>0</x:v>
      </x:c>
      <x:c r="P313" s="88"/>
    </x:row>
    <x:row r="314">
      <x:c r="A314" s="56" t="str">
        <x:v>ominous-wind</x:v>
      </x:c>
      <x:c r="B314" s="56" t="str">
        <x:v>あやしいかぜ</x:v>
      </x:c>
      <x:c r="C314" s="56" t="str">
        <x:v>Ominous Wind</x:v>
      </x:c>
      <x:c r="D314" s="85" t="str">
        <x:v>ゴースト</x:v>
      </x:c>
      <x:c r="E314" s="86" t="n">
        <x:v>60</x:v>
      </x:c>
      <x:c r="F314" s="85" t="str">
        <x:v>特殊</x:v>
      </x:c>
      <x:c r="G314" s="85" t="str">
        <x:v>単体対象</x:v>
      </x:c>
      <x:c r="H314" s="87" t="b">
        <x:v>1</x:v>
      </x:c>
      <x:c r="I314" s="88"/>
      <x:c r="J314" s="89"/>
      <x:c r="K314" s="88"/>
      <x:c r="L314" s="90" t="n">
        <x:v>0</x:v>
      </x:c>
      <x:c r="M314" s="88"/>
      <x:c r="N314" s="91" t="n">
        <x:v>108</x:v>
      </x:c>
      <x:c r="O314" s="92" t="b">
        <x:v>0</x:v>
      </x:c>
      <x:c r="P314" s="88"/>
    </x:row>
    <x:row r="315">
      <x:c r="A315" s="56" t="str">
        <x:v>order-up</x:v>
      </x:c>
      <x:c r="B315" s="56" t="str">
        <x:v>いっちょうあがり</x:v>
      </x:c>
      <x:c r="C315" s="56" t="str">
        <x:v>Order Up</x:v>
      </x:c>
      <x:c r="D315" s="85" t="str">
        <x:v>ドラゴン</x:v>
      </x:c>
      <x:c r="E315" s="86" t="n">
        <x:v>80</x:v>
      </x:c>
      <x:c r="F315" s="85" t="str">
        <x:v>物理</x:v>
      </x:c>
      <x:c r="G315" s="85" t="str">
        <x:v>単体対象</x:v>
      </x:c>
      <x:c r="H315" s="87" t="b">
        <x:v>1</x:v>
      </x:c>
      <x:c r="I315" s="88"/>
      <x:c r="J315" s="89"/>
      <x:c r="K315" s="88"/>
      <x:c r="L315" s="90" t="n">
        <x:v>0</x:v>
      </x:c>
      <x:c r="M315" s="88"/>
      <x:c r="N315" s="91" t="n">
        <x:v>1</x:v>
      </x:c>
      <x:c r="O315" s="92" t="b">
        <x:v>0</x:v>
      </x:c>
      <x:c r="P315" s="88"/>
    </x:row>
    <x:row r="316">
      <x:c r="A316" s="56" t="str">
        <x:v>origin-pulse</x:v>
      </x:c>
      <x:c r="B316" s="56" t="str">
        <x:v>こんげんのはどう</x:v>
      </x:c>
      <x:c r="C316" s="56" t="str">
        <x:v>Origin Pulse</x:v>
      </x:c>
      <x:c r="D316" s="85" t="str">
        <x:v>みず</x:v>
      </x:c>
      <x:c r="E316" s="86" t="n">
        <x:v>110</x:v>
      </x:c>
      <x:c r="F316" s="85" t="str">
        <x:v>特殊</x:v>
      </x:c>
      <x:c r="G316" s="85" t="str">
        <x:v>複数対象</x:v>
      </x:c>
      <x:c r="H316" s="87" t="b">
        <x:v>1</x:v>
      </x:c>
      <x:c r="I316" s="88"/>
      <x:c r="J316" s="89"/>
      <x:c r="K316" s="88"/>
      <x:c r="L316" s="90" t="n">
        <x:v>0</x:v>
      </x:c>
      <x:c r="M316" s="88"/>
      <x:c r="N316" s="91" t="n">
        <x:v>2</x:v>
      </x:c>
      <x:c r="O316" s="92" t="b">
        <x:v>1</x:v>
      </x:c>
      <x:c r="P316" s="88"/>
    </x:row>
    <x:row r="317">
      <x:c r="A317" s="56" t="str">
        <x:v>outrage</x:v>
      </x:c>
      <x:c r="B317" s="56" t="str">
        <x:v>げきりん</x:v>
      </x:c>
      <x:c r="C317" s="56" t="str">
        <x:v>Outrage</x:v>
      </x:c>
      <x:c r="D317" s="85" t="str">
        <x:v>ドラゴン</x:v>
      </x:c>
      <x:c r="E317" s="86" t="n">
        <x:v>120</x:v>
      </x:c>
      <x:c r="F317" s="85" t="str">
        <x:v>物理</x:v>
      </x:c>
      <x:c r="G317" s="85" t="str">
        <x:v>単体対象</x:v>
      </x:c>
      <x:c r="H317" s="87" t="b">
        <x:v>1</x:v>
      </x:c>
      <x:c r="I317" s="88"/>
      <x:c r="J317" s="89"/>
      <x:c r="K317" s="88"/>
      <x:c r="L317" s="90" t="n">
        <x:v>0</x:v>
      </x:c>
      <x:c r="M317" s="88"/>
      <x:c r="N317" s="91" t="n">
        <x:v>223</x:v>
      </x:c>
      <x:c r="O317" s="92" t="b">
        <x:v>0</x:v>
      </x:c>
      <x:c r="P317" s="88"/>
    </x:row>
    <x:row r="318">
      <x:c r="A318" s="56" t="str">
        <x:v>overdrive</x:v>
      </x:c>
      <x:c r="B318" s="56" t="str">
        <x:v>オーバードライブ</x:v>
      </x:c>
      <x:c r="C318" s="56" t="str">
        <x:v>Overdrive</x:v>
      </x:c>
      <x:c r="D318" s="85" t="str">
        <x:v>でんき</x:v>
      </x:c>
      <x:c r="E318" s="86" t="n">
        <x:v>80</x:v>
      </x:c>
      <x:c r="F318" s="85" t="str">
        <x:v>特殊</x:v>
      </x:c>
      <x:c r="G318" s="85" t="str">
        <x:v>複数対象</x:v>
      </x:c>
      <x:c r="H318" s="87" t="b">
        <x:v>1</x:v>
      </x:c>
      <x:c r="I318" s="88"/>
      <x:c r="J318" s="89"/>
      <x:c r="K318" s="88"/>
      <x:c r="L318" s="90" t="n">
        <x:v>0</x:v>
      </x:c>
      <x:c r="M318" s="88"/>
      <x:c r="N318" s="91" t="n">
        <x:v>2</x:v>
      </x:c>
      <x:c r="O318" s="92" t="b">
        <x:v>1</x:v>
      </x:c>
      <x:c r="P318" s="88"/>
    </x:row>
    <x:row r="319">
      <x:c r="A319" s="56" t="str">
        <x:v>overheat</x:v>
      </x:c>
      <x:c r="B319" s="56" t="str">
        <x:v>オーバーヒート</x:v>
      </x:c>
      <x:c r="C319" s="56" t="str">
        <x:v>Overheat</x:v>
      </x:c>
      <x:c r="D319" s="85" t="str">
        <x:v>ほのお</x:v>
      </x:c>
      <x:c r="E319" s="86" t="n">
        <x:v>130</x:v>
      </x:c>
      <x:c r="F319" s="85" t="str">
        <x:v>特殊</x:v>
      </x:c>
      <x:c r="G319" s="85" t="str">
        <x:v>単体対象</x:v>
      </x:c>
      <x:c r="H319" s="87" t="b">
        <x:v>1</x:v>
      </x:c>
      <x:c r="I319" s="88"/>
      <x:c r="J319" s="89"/>
      <x:c r="K319" s="88"/>
      <x:c r="L319" s="90" t="n">
        <x:v>0</x:v>
      </x:c>
      <x:c r="M319" s="88"/>
      <x:c r="N319" s="91" t="n">
        <x:v>132</x:v>
      </x:c>
      <x:c r="O319" s="92" t="b">
        <x:v>0</x:v>
      </x:c>
      <x:c r="P319" s="88"/>
    </x:row>
    <x:row r="320">
      <x:c r="A320" s="56" t="str">
        <x:v>parabolic-charge</x:v>
      </x:c>
      <x:c r="B320" s="56" t="str">
        <x:v>パラボラチャージ</x:v>
      </x:c>
      <x:c r="C320" s="56" t="str">
        <x:v>Parabolic Charge</x:v>
      </x:c>
      <x:c r="D320" s="85" t="str">
        <x:v>でんき</x:v>
      </x:c>
      <x:c r="E320" s="86" t="n">
        <x:v>65</x:v>
      </x:c>
      <x:c r="F320" s="85" t="str">
        <x:v>特殊</x:v>
      </x:c>
      <x:c r="G320" s="85" t="str">
        <x:v>複数対象</x:v>
      </x:c>
      <x:c r="H320" s="87" t="b">
        <x:v>1</x:v>
      </x:c>
      <x:c r="I320" s="88"/>
      <x:c r="J320" s="89"/>
      <x:c r="K320" s="88"/>
      <x:c r="L320" s="90" t="n">
        <x:v>0</x:v>
      </x:c>
      <x:c r="M320" s="88"/>
      <x:c r="N320" s="91" t="n">
        <x:v>12</x:v>
      </x:c>
      <x:c r="O320" s="92" t="b">
        <x:v>1</x:v>
      </x:c>
      <x:c r="P320" s="88"/>
    </x:row>
    <x:row r="321">
      <x:c r="A321" s="56" t="str">
        <x:v>pay-day</x:v>
      </x:c>
      <x:c r="B321" s="56" t="str">
        <x:v>ネコにこばん</x:v>
      </x:c>
      <x:c r="C321" s="56" t="str">
        <x:v>Pay Day</x:v>
      </x:c>
      <x:c r="D321" s="85" t="str">
        <x:v>ノーマル</x:v>
      </x:c>
      <x:c r="E321" s="86" t="n">
        <x:v>40</x:v>
      </x:c>
      <x:c r="F321" s="85" t="str">
        <x:v>物理</x:v>
      </x:c>
      <x:c r="G321" s="85" t="str">
        <x:v>単体対象</x:v>
      </x:c>
      <x:c r="H321" s="87" t="b">
        <x:v>1</x:v>
      </x:c>
      <x:c r="I321" s="88"/>
      <x:c r="J321" s="89"/>
      <x:c r="K321" s="88"/>
      <x:c r="L321" s="90" t="n">
        <x:v>0</x:v>
      </x:c>
      <x:c r="M321" s="88"/>
      <x:c r="N321" s="91" t="n">
        <x:v>68</x:v>
      </x:c>
      <x:c r="O321" s="92" t="b">
        <x:v>0</x:v>
      </x:c>
      <x:c r="P321" s="88"/>
    </x:row>
    <x:row r="322">
      <x:c r="A322" s="56" t="str">
        <x:v>payback</x:v>
      </x:c>
      <x:c r="B322" s="56" t="str">
        <x:v>しっぺがえし</x:v>
      </x:c>
      <x:c r="C322" s="56" t="str">
        <x:v>Payback</x:v>
      </x:c>
      <x:c r="D322" s="85" t="str">
        <x:v>あく</x:v>
      </x:c>
      <x:c r="E322" s="86" t="n">
        <x:v>50</x:v>
      </x:c>
      <x:c r="F322" s="85" t="str">
        <x:v>物理</x:v>
      </x:c>
      <x:c r="G322" s="85" t="str">
        <x:v>単体対象</x:v>
      </x:c>
      <x:c r="H322" s="87" t="b">
        <x:v>1</x:v>
      </x:c>
      <x:c r="I322" s="88"/>
      <x:c r="J322" s="89"/>
      <x:c r="K322" s="88"/>
      <x:c r="L322" s="90" t="n">
        <x:v>0</x:v>
      </x:c>
      <x:c r="M322" s="88"/>
      <x:c r="N322" s="91" t="n">
        <x:v>360</x:v>
      </x:c>
      <x:c r="O322" s="92" t="b">
        <x:v>0</x:v>
      </x:c>
      <x:c r="P322" s="88"/>
    </x:row>
    <x:row r="323">
      <x:c r="A323" s="56" t="str">
        <x:v>peck</x:v>
      </x:c>
      <x:c r="B323" s="56" t="str">
        <x:v>つつく</x:v>
      </x:c>
      <x:c r="C323" s="56" t="str">
        <x:v>Peck</x:v>
      </x:c>
      <x:c r="D323" s="85" t="str">
        <x:v>ひこう</x:v>
      </x:c>
      <x:c r="E323" s="86" t="n">
        <x:v>35</x:v>
      </x:c>
      <x:c r="F323" s="85" t="str">
        <x:v>物理</x:v>
      </x:c>
      <x:c r="G323" s="85" t="str">
        <x:v>単体対象</x:v>
      </x:c>
      <x:c r="H323" s="87" t="b">
        <x:v>1</x:v>
      </x:c>
      <x:c r="I323" s="88"/>
      <x:c r="J323" s="89"/>
      <x:c r="K323" s="88"/>
      <x:c r="L323" s="90" t="n">
        <x:v>0</x:v>
      </x:c>
      <x:c r="M323" s="88"/>
      <x:c r="N323" s="91" t="n">
        <x:v>88</x:v>
      </x:c>
      <x:c r="O323" s="92" t="b">
        <x:v>0</x:v>
      </x:c>
      <x:c r="P323" s="88"/>
    </x:row>
    <x:row r="324">
      <x:c r="A324" s="56" t="str">
        <x:v>petal-blizzard</x:v>
      </x:c>
      <x:c r="B324" s="56" t="str">
        <x:v>はなふぶき</x:v>
      </x:c>
      <x:c r="C324" s="56" t="str">
        <x:v>Petal Blizzard</x:v>
      </x:c>
      <x:c r="D324" s="85" t="str">
        <x:v>くさ</x:v>
      </x:c>
      <x:c r="E324" s="86" t="n">
        <x:v>90</x:v>
      </x:c>
      <x:c r="F324" s="85" t="str">
        <x:v>物理</x:v>
      </x:c>
      <x:c r="G324" s="85" t="str">
        <x:v>複数対象</x:v>
      </x:c>
      <x:c r="H324" s="87" t="b">
        <x:v>1</x:v>
      </x:c>
      <x:c r="I324" s="88"/>
      <x:c r="J324" s="89"/>
      <x:c r="K324" s="88"/>
      <x:c r="L324" s="90" t="n">
        <x:v>0</x:v>
      </x:c>
      <x:c r="M324" s="88"/>
      <x:c r="N324" s="91" t="n">
        <x:v>40</x:v>
      </x:c>
      <x:c r="O324" s="92" t="b">
        <x:v>1</x:v>
      </x:c>
      <x:c r="P324" s="88"/>
    </x:row>
    <x:row r="325">
      <x:c r="A325" s="56" t="str">
        <x:v>petal-dance</x:v>
      </x:c>
      <x:c r="B325" s="56" t="str">
        <x:v>はなびらのまい</x:v>
      </x:c>
      <x:c r="C325" s="56" t="str">
        <x:v>Petal Dance</x:v>
      </x:c>
      <x:c r="D325" s="85" t="str">
        <x:v>くさ</x:v>
      </x:c>
      <x:c r="E325" s="86" t="n">
        <x:v>120</x:v>
      </x:c>
      <x:c r="F325" s="85" t="str">
        <x:v>特殊</x:v>
      </x:c>
      <x:c r="G325" s="85" t="str">
        <x:v>単体対象</x:v>
      </x:c>
      <x:c r="H325" s="87" t="b">
        <x:v>1</x:v>
      </x:c>
      <x:c r="I325" s="88"/>
      <x:c r="J325" s="89"/>
      <x:c r="K325" s="88"/>
      <x:c r="L325" s="90" t="n">
        <x:v>0</x:v>
      </x:c>
      <x:c r="M325" s="88"/>
      <x:c r="N325" s="91" t="n">
        <x:v>26</x:v>
      </x:c>
      <x:c r="O325" s="92" t="b">
        <x:v>0</x:v>
      </x:c>
      <x:c r="P325" s="88"/>
    </x:row>
    <x:row r="326">
      <x:c r="A326" s="56" t="str">
        <x:v>phantom-force</x:v>
      </x:c>
      <x:c r="B326" s="56" t="str">
        <x:v>ゴーストダイブ</x:v>
      </x:c>
      <x:c r="C326" s="56" t="str">
        <x:v>Phantom Force</x:v>
      </x:c>
      <x:c r="D326" s="85" t="str">
        <x:v>ゴースト</x:v>
      </x:c>
      <x:c r="E326" s="86" t="n">
        <x:v>90</x:v>
      </x:c>
      <x:c r="F326" s="85" t="str">
        <x:v>物理</x:v>
      </x:c>
      <x:c r="G326" s="85" t="str">
        <x:v>単体対象</x:v>
      </x:c>
      <x:c r="H326" s="87" t="b">
        <x:v>1</x:v>
      </x:c>
      <x:c r="I326" s="88"/>
      <x:c r="J326" s="89"/>
      <x:c r="K326" s="88"/>
      <x:c r="L326" s="90" t="n">
        <x:v>0</x:v>
      </x:c>
      <x:c r="M326" s="88"/>
      <x:c r="N326" s="91" t="n">
        <x:v>65</x:v>
      </x:c>
      <x:c r="O326" s="92" t="b">
        <x:v>0</x:v>
      </x:c>
      <x:c r="P326" s="88"/>
    </x:row>
    <x:row r="327">
      <x:c r="A327" s="56" t="str">
        <x:v>photon-geyser</x:v>
      </x:c>
      <x:c r="B327" s="56" t="str">
        <x:v>フォトンゲイザー</x:v>
      </x:c>
      <x:c r="C327" s="56" t="str">
        <x:v>Photon Geyser</x:v>
      </x:c>
      <x:c r="D327" s="85" t="str">
        <x:v>エスパー</x:v>
      </x:c>
      <x:c r="E327" s="86" t="n">
        <x:v>100</x:v>
      </x:c>
      <x:c r="F327" s="85" t="str">
        <x:v>特殊</x:v>
      </x:c>
      <x:c r="G327" s="85" t="str">
        <x:v>単体対象</x:v>
      </x:c>
      <x:c r="H327" s="87" t="b">
        <x:v>1</x:v>
      </x:c>
      <x:c r="I327" s="88"/>
      <x:c r="J327" s="89"/>
      <x:c r="K327" s="88"/>
      <x:c r="L327" s="90" t="n">
        <x:v>0</x:v>
      </x:c>
      <x:c r="M327" s="88"/>
      <x:c r="N327" s="91" t="n">
        <x:v>4</x:v>
      </x:c>
      <x:c r="O327" s="92" t="b">
        <x:v>0</x:v>
      </x:c>
      <x:c r="P327" s="88"/>
    </x:row>
    <x:row r="328">
      <x:c r="A328" s="56" t="str">
        <x:v>pin-missile</x:v>
      </x:c>
      <x:c r="B328" s="56" t="str">
        <x:v>ミサイルばり</x:v>
      </x:c>
      <x:c r="C328" s="56" t="str">
        <x:v>Pin Missile</x:v>
      </x:c>
      <x:c r="D328" s="85" t="str">
        <x:v>むし</x:v>
      </x:c>
      <x:c r="E328" s="86" t="n">
        <x:v>25</x:v>
      </x:c>
      <x:c r="F328" s="85" t="str">
        <x:v>物理</x:v>
      </x:c>
      <x:c r="G328" s="85" t="str">
        <x:v>単体対象</x:v>
      </x:c>
      <x:c r="H328" s="87" t="b">
        <x:v>1</x:v>
      </x:c>
      <x:c r="I328" s="88"/>
      <x:c r="J328" s="89"/>
      <x:c r="K328" s="88"/>
      <x:c r="L328" s="90" t="n">
        <x:v>0</x:v>
      </x:c>
      <x:c r="M328" s="88"/>
      <x:c r="N328" s="91" t="n">
        <x:v>53</x:v>
      </x:c>
      <x:c r="O328" s="92" t="b">
        <x:v>0</x:v>
      </x:c>
      <x:c r="P328" s="88"/>
    </x:row>
    <x:row r="329">
      <x:c r="A329" s="56" t="str">
        <x:v>plasma-fists</x:v>
      </x:c>
      <x:c r="B329" s="56" t="str">
        <x:v>プラズマフィスト</x:v>
      </x:c>
      <x:c r="C329" s="56" t="str">
        <x:v>Plasma Fists</x:v>
      </x:c>
      <x:c r="D329" s="85" t="str">
        <x:v>でんき</x:v>
      </x:c>
      <x:c r="E329" s="86" t="n">
        <x:v>100</x:v>
      </x:c>
      <x:c r="F329" s="85" t="str">
        <x:v>物理</x:v>
      </x:c>
      <x:c r="G329" s="85" t="str">
        <x:v>単体対象</x:v>
      </x:c>
      <x:c r="H329" s="87" t="b">
        <x:v>1</x:v>
      </x:c>
      <x:c r="I329" s="88"/>
      <x:c r="J329" s="89"/>
      <x:c r="K329" s="88"/>
      <x:c r="L329" s="90" t="n">
        <x:v>0</x:v>
      </x:c>
      <x:c r="M329" s="88"/>
      <x:c r="N329" s="91" t="n">
        <x:v>1</x:v>
      </x:c>
      <x:c r="O329" s="92" t="b">
        <x:v>0</x:v>
      </x:c>
      <x:c r="P329" s="88"/>
    </x:row>
    <x:row r="330">
      <x:c r="A330" s="56" t="str">
        <x:v>play-rough</x:v>
      </x:c>
      <x:c r="B330" s="56" t="str">
        <x:v>じゃれつく</x:v>
      </x:c>
      <x:c r="C330" s="56" t="str">
        <x:v>Play Rough</x:v>
      </x:c>
      <x:c r="D330" s="85" t="str">
        <x:v>フェアリー</x:v>
      </x:c>
      <x:c r="E330" s="86" t="n">
        <x:v>90</x:v>
      </x:c>
      <x:c r="F330" s="85" t="str">
        <x:v>物理</x:v>
      </x:c>
      <x:c r="G330" s="85" t="str">
        <x:v>単体対象</x:v>
      </x:c>
      <x:c r="H330" s="87" t="b">
        <x:v>1</x:v>
      </x:c>
      <x:c r="I330" s="88"/>
      <x:c r="J330" s="89"/>
      <x:c r="K330" s="88"/>
      <x:c r="L330" s="90" t="n">
        <x:v>0</x:v>
      </x:c>
      <x:c r="M330" s="88"/>
      <x:c r="N330" s="91" t="n">
        <x:v>210</x:v>
      </x:c>
      <x:c r="O330" s="92" t="b">
        <x:v>0</x:v>
      </x:c>
      <x:c r="P330" s="88"/>
    </x:row>
    <x:row r="331">
      <x:c r="A331" s="56" t="str">
        <x:v>pluck</x:v>
      </x:c>
      <x:c r="B331" s="56" t="str">
        <x:v>ついばむ</x:v>
      </x:c>
      <x:c r="C331" s="56" t="str">
        <x:v>Pluck</x:v>
      </x:c>
      <x:c r="D331" s="85" t="str">
        <x:v>ひこう</x:v>
      </x:c>
      <x:c r="E331" s="86" t="n">
        <x:v>60</x:v>
      </x:c>
      <x:c r="F331" s="85" t="str">
        <x:v>物理</x:v>
      </x:c>
      <x:c r="G331" s="85" t="str">
        <x:v>単体対象</x:v>
      </x:c>
      <x:c r="H331" s="87" t="b">
        <x:v>1</x:v>
      </x:c>
      <x:c r="I331" s="88"/>
      <x:c r="J331" s="89"/>
      <x:c r="K331" s="88"/>
      <x:c r="L331" s="90" t="n">
        <x:v>0</x:v>
      </x:c>
      <x:c r="M331" s="88"/>
      <x:c r="N331" s="91" t="n">
        <x:v>85</x:v>
      </x:c>
      <x:c r="O331" s="92" t="b">
        <x:v>0</x:v>
      </x:c>
      <x:c r="P331" s="88"/>
    </x:row>
    <x:row r="332">
      <x:c r="A332" s="56" t="str">
        <x:v>poison-fang</x:v>
      </x:c>
      <x:c r="B332" s="56" t="str">
        <x:v>どくどくのキバ</x:v>
      </x:c>
      <x:c r="C332" s="56" t="str">
        <x:v>Poison Fang</x:v>
      </x:c>
      <x:c r="D332" s="85" t="str">
        <x:v>どく</x:v>
      </x:c>
      <x:c r="E332" s="86" t="n">
        <x:v>50</x:v>
      </x:c>
      <x:c r="F332" s="85" t="str">
        <x:v>物理</x:v>
      </x:c>
      <x:c r="G332" s="85" t="str">
        <x:v>単体対象</x:v>
      </x:c>
      <x:c r="H332" s="87" t="b">
        <x:v>1</x:v>
      </x:c>
      <x:c r="I332" s="88"/>
      <x:c r="J332" s="89"/>
      <x:c r="K332" s="88"/>
      <x:c r="L332" s="90" t="n">
        <x:v>0</x:v>
      </x:c>
      <x:c r="M332" s="88"/>
      <x:c r="N332" s="91" t="n">
        <x:v>30</x:v>
      </x:c>
      <x:c r="O332" s="92" t="b">
        <x:v>0</x:v>
      </x:c>
      <x:c r="P332" s="88"/>
    </x:row>
    <x:row r="333">
      <x:c r="A333" s="56" t="str">
        <x:v>poison-jab</x:v>
      </x:c>
      <x:c r="B333" s="56" t="str">
        <x:v>どくづき</x:v>
      </x:c>
      <x:c r="C333" s="56" t="str">
        <x:v>Poison Jab</x:v>
      </x:c>
      <x:c r="D333" s="85" t="str">
        <x:v>どく</x:v>
      </x:c>
      <x:c r="E333" s="86" t="n">
        <x:v>80</x:v>
      </x:c>
      <x:c r="F333" s="85" t="str">
        <x:v>物理</x:v>
      </x:c>
      <x:c r="G333" s="85" t="str">
        <x:v>単体対象</x:v>
      </x:c>
      <x:c r="H333" s="87" t="b">
        <x:v>1</x:v>
      </x:c>
      <x:c r="I333" s="88"/>
      <x:c r="J333" s="89"/>
      <x:c r="K333" s="88"/>
      <x:c r="L333" s="90" t="n">
        <x:v>0</x:v>
      </x:c>
      <x:c r="M333" s="88"/>
      <x:c r="N333" s="91" t="n">
        <x:v>234</x:v>
      </x:c>
      <x:c r="O333" s="92" t="b">
        <x:v>0</x:v>
      </x:c>
      <x:c r="P333" s="88"/>
    </x:row>
    <x:row r="334">
      <x:c r="A334" s="56" t="str">
        <x:v>poison-sting</x:v>
      </x:c>
      <x:c r="B334" s="56" t="str">
        <x:v>どくばり</x:v>
      </x:c>
      <x:c r="C334" s="56" t="str">
        <x:v>Poison Sting</x:v>
      </x:c>
      <x:c r="D334" s="85" t="str">
        <x:v>どく</x:v>
      </x:c>
      <x:c r="E334" s="86" t="n">
        <x:v>15</x:v>
      </x:c>
      <x:c r="F334" s="85" t="str">
        <x:v>物理</x:v>
      </x:c>
      <x:c r="G334" s="85" t="str">
        <x:v>単体対象</x:v>
      </x:c>
      <x:c r="H334" s="87" t="b">
        <x:v>1</x:v>
      </x:c>
      <x:c r="I334" s="88"/>
      <x:c r="J334" s="89"/>
      <x:c r="K334" s="88"/>
      <x:c r="L334" s="90" t="n">
        <x:v>0</x:v>
      </x:c>
      <x:c r="M334" s="88"/>
      <x:c r="N334" s="91" t="n">
        <x:v>46</x:v>
      </x:c>
      <x:c r="O334" s="92" t="b">
        <x:v>0</x:v>
      </x:c>
      <x:c r="P334" s="88"/>
    </x:row>
    <x:row r="335">
      <x:c r="A335" s="56" t="str">
        <x:v>poison-tail</x:v>
      </x:c>
      <x:c r="B335" s="56" t="str">
        <x:v>ポイズンテール</x:v>
      </x:c>
      <x:c r="C335" s="56" t="str">
        <x:v>Poison Tail</x:v>
      </x:c>
      <x:c r="D335" s="85" t="str">
        <x:v>どく</x:v>
      </x:c>
      <x:c r="E335" s="86" t="n">
        <x:v>50</x:v>
      </x:c>
      <x:c r="F335" s="85" t="str">
        <x:v>物理</x:v>
      </x:c>
      <x:c r="G335" s="85" t="str">
        <x:v>単体対象</x:v>
      </x:c>
      <x:c r="H335" s="87" t="b">
        <x:v>1</x:v>
      </x:c>
      <x:c r="I335" s="88"/>
      <x:c r="J335" s="89"/>
      <x:c r="K335" s="88"/>
      <x:c r="L335" s="90" t="n">
        <x:v>0</x:v>
      </x:c>
      <x:c r="M335" s="88"/>
      <x:c r="N335" s="91" t="n">
        <x:v>41</x:v>
      </x:c>
      <x:c r="O335" s="92" t="b">
        <x:v>0</x:v>
      </x:c>
      <x:c r="P335" s="88"/>
    </x:row>
    <x:row r="336">
      <x:c r="A336" s="56" t="str">
        <x:v>pollen-puff</x:v>
      </x:c>
      <x:c r="B336" s="56" t="str">
        <x:v>かふんだんご</x:v>
      </x:c>
      <x:c r="C336" s="56" t="str">
        <x:v>Pollen Puff</x:v>
      </x:c>
      <x:c r="D336" s="85" t="str">
        <x:v>むし</x:v>
      </x:c>
      <x:c r="E336" s="86" t="n">
        <x:v>90</x:v>
      </x:c>
      <x:c r="F336" s="85" t="str">
        <x:v>特殊</x:v>
      </x:c>
      <x:c r="G336" s="85" t="str">
        <x:v>単体対象</x:v>
      </x:c>
      <x:c r="H336" s="87" t="b">
        <x:v>1</x:v>
      </x:c>
      <x:c r="I336" s="88"/>
      <x:c r="J336" s="89"/>
      <x:c r="K336" s="88"/>
      <x:c r="L336" s="90" t="n">
        <x:v>0</x:v>
      </x:c>
      <x:c r="M336" s="88"/>
      <x:c r="N336" s="91" t="n">
        <x:v>46</x:v>
      </x:c>
      <x:c r="O336" s="92" t="b">
        <x:v>0</x:v>
      </x:c>
      <x:c r="P336" s="88"/>
    </x:row>
    <x:row r="337">
      <x:c r="A337" s="56" t="str">
        <x:v>poltergeist</x:v>
      </x:c>
      <x:c r="B337" s="56" t="str">
        <x:v>ポルターガイスト</x:v>
      </x:c>
      <x:c r="C337" s="56" t="str">
        <x:v>Poltergeist</x:v>
      </x:c>
      <x:c r="D337" s="85" t="str">
        <x:v>ゴースト</x:v>
      </x:c>
      <x:c r="E337" s="86" t="n">
        <x:v>110</x:v>
      </x:c>
      <x:c r="F337" s="85" t="str">
        <x:v>物理</x:v>
      </x:c>
      <x:c r="G337" s="85" t="str">
        <x:v>単体対象</x:v>
      </x:c>
      <x:c r="H337" s="87" t="b">
        <x:v>1</x:v>
      </x:c>
      <x:c r="I337" s="88"/>
      <x:c r="J337" s="89"/>
      <x:c r="K337" s="88"/>
      <x:c r="L337" s="90" t="n">
        <x:v>0</x:v>
      </x:c>
      <x:c r="M337" s="88"/>
      <x:c r="N337" s="91" t="n">
        <x:v>79</x:v>
      </x:c>
      <x:c r="O337" s="92" t="b">
        <x:v>0</x:v>
      </x:c>
      <x:c r="P337" s="88"/>
    </x:row>
    <x:row r="338">
      <x:c r="A338" s="56" t="str">
        <x:v>population-bomb</x:v>
      </x:c>
      <x:c r="B338" s="56" t="str">
        <x:v>ネズミざん</x:v>
      </x:c>
      <x:c r="C338" s="56" t="str">
        <x:v>Population Bomb</x:v>
      </x:c>
      <x:c r="D338" s="85" t="str">
        <x:v>ノーマル</x:v>
      </x:c>
      <x:c r="E338" s="86" t="n">
        <x:v>20</x:v>
      </x:c>
      <x:c r="F338" s="85" t="str">
        <x:v>物理</x:v>
      </x:c>
      <x:c r="G338" s="85" t="str">
        <x:v>単体対象</x:v>
      </x:c>
      <x:c r="H338" s="87" t="b">
        <x:v>1</x:v>
      </x:c>
      <x:c r="I338" s="88"/>
      <x:c r="J338" s="89"/>
      <x:c r="K338" s="88"/>
      <x:c r="L338" s="90" t="n">
        <x:v>0</x:v>
      </x:c>
      <x:c r="M338" s="88"/>
      <x:c r="N338" s="91" t="n">
        <x:v>3</x:v>
      </x:c>
      <x:c r="O338" s="92" t="b">
        <x:v>0</x:v>
      </x:c>
      <x:c r="P338" s="88"/>
    </x:row>
    <x:row r="339">
      <x:c r="A339" s="56" t="str">
        <x:v>pounce</x:v>
      </x:c>
      <x:c r="B339" s="56" t="str">
        <x:v>とびつく</x:v>
      </x:c>
      <x:c r="C339" s="56" t="str">
        <x:v>Pounce</x:v>
      </x:c>
      <x:c r="D339" s="85" t="str">
        <x:v>むし</x:v>
      </x:c>
      <x:c r="E339" s="86" t="n">
        <x:v>50</x:v>
      </x:c>
      <x:c r="F339" s="85" t="str">
        <x:v>物理</x:v>
      </x:c>
      <x:c r="G339" s="85" t="str">
        <x:v>単体対象</x:v>
      </x:c>
      <x:c r="H339" s="87" t="b">
        <x:v>1</x:v>
      </x:c>
      <x:c r="I339" s="88"/>
      <x:c r="J339" s="89"/>
      <x:c r="K339" s="88"/>
      <x:c r="L339" s="90" t="n">
        <x:v>0</x:v>
      </x:c>
      <x:c r="M339" s="88"/>
      <x:c r="N339" s="91" t="n">
        <x:v>103</x:v>
      </x:c>
      <x:c r="O339" s="92" t="b">
        <x:v>0</x:v>
      </x:c>
      <x:c r="P339" s="88"/>
    </x:row>
    <x:row r="340">
      <x:c r="A340" s="56" t="str">
        <x:v>pound</x:v>
      </x:c>
      <x:c r="B340" s="56" t="str">
        <x:v>はたく</x:v>
      </x:c>
      <x:c r="C340" s="56" t="str">
        <x:v>Pound</x:v>
      </x:c>
      <x:c r="D340" s="85" t="str">
        <x:v>ノーマル</x:v>
      </x:c>
      <x:c r="E340" s="86" t="n">
        <x:v>40</x:v>
      </x:c>
      <x:c r="F340" s="85" t="str">
        <x:v>物理</x:v>
      </x:c>
      <x:c r="G340" s="85" t="str">
        <x:v>単体対象</x:v>
      </x:c>
      <x:c r="H340" s="87" t="b">
        <x:v>1</x:v>
      </x:c>
      <x:c r="I340" s="88"/>
      <x:c r="J340" s="89"/>
      <x:c r="K340" s="88"/>
      <x:c r="L340" s="90" t="n">
        <x:v>0</x:v>
      </x:c>
      <x:c r="M340" s="88"/>
      <x:c r="N340" s="91" t="n">
        <x:v>102</x:v>
      </x:c>
      <x:c r="O340" s="92" t="b">
        <x:v>0</x:v>
      </x:c>
      <x:c r="P340" s="88"/>
    </x:row>
    <x:row r="341">
      <x:c r="A341" s="56" t="str">
        <x:v>powder-snow</x:v>
      </x:c>
      <x:c r="B341" s="56" t="str">
        <x:v>こなゆき</x:v>
      </x:c>
      <x:c r="C341" s="56" t="str">
        <x:v>Powder Snow</x:v>
      </x:c>
      <x:c r="D341" s="85" t="str">
        <x:v>こおり</x:v>
      </x:c>
      <x:c r="E341" s="86" t="n">
        <x:v>40</x:v>
      </x:c>
      <x:c r="F341" s="85" t="str">
        <x:v>特殊</x:v>
      </x:c>
      <x:c r="G341" s="85" t="str">
        <x:v>複数対象</x:v>
      </x:c>
      <x:c r="H341" s="87" t="b">
        <x:v>1</x:v>
      </x:c>
      <x:c r="I341" s="88"/>
      <x:c r="J341" s="89"/>
      <x:c r="K341" s="88"/>
      <x:c r="L341" s="90" t="n">
        <x:v>0</x:v>
      </x:c>
      <x:c r="M341" s="88"/>
      <x:c r="N341" s="91" t="n">
        <x:v>46</x:v>
      </x:c>
      <x:c r="O341" s="92" t="b">
        <x:v>1</x:v>
      </x:c>
      <x:c r="P341" s="88"/>
    </x:row>
    <x:row r="342">
      <x:c r="A342" s="56" t="str">
        <x:v>power-gem</x:v>
      </x:c>
      <x:c r="B342" s="56" t="str">
        <x:v>パワージェム</x:v>
      </x:c>
      <x:c r="C342" s="56" t="str">
        <x:v>Power Gem</x:v>
      </x:c>
      <x:c r="D342" s="85" t="str">
        <x:v>いわ</x:v>
      </x:c>
      <x:c r="E342" s="86" t="n">
        <x:v>80</x:v>
      </x:c>
      <x:c r="F342" s="85" t="str">
        <x:v>特殊</x:v>
      </x:c>
      <x:c r="G342" s="85" t="str">
        <x:v>単体対象</x:v>
      </x:c>
      <x:c r="H342" s="87" t="b">
        <x:v>1</x:v>
      </x:c>
      <x:c r="I342" s="88"/>
      <x:c r="J342" s="89"/>
      <x:c r="K342" s="88"/>
      <x:c r="L342" s="90" t="n">
        <x:v>0</x:v>
      </x:c>
      <x:c r="M342" s="88"/>
      <x:c r="N342" s="91" t="n">
        <x:v>109</x:v>
      </x:c>
      <x:c r="O342" s="92" t="b">
        <x:v>0</x:v>
      </x:c>
      <x:c r="P342" s="88"/>
    </x:row>
    <x:row r="343">
      <x:c r="A343" s="56" t="str">
        <x:v>power-trip</x:v>
      </x:c>
      <x:c r="B343" s="56" t="str">
        <x:v>つけあがる</x:v>
      </x:c>
      <x:c r="C343" s="56" t="str">
        <x:v>Power Trip</x:v>
      </x:c>
      <x:c r="D343" s="85" t="str">
        <x:v>あく</x:v>
      </x:c>
      <x:c r="E343" s="86" t="n">
        <x:v>20</x:v>
      </x:c>
      <x:c r="F343" s="85" t="str">
        <x:v>物理</x:v>
      </x:c>
      <x:c r="G343" s="85" t="str">
        <x:v>単体対象</x:v>
      </x:c>
      <x:c r="H343" s="87" t="b">
        <x:v>1</x:v>
      </x:c>
      <x:c r="I343" s="88"/>
      <x:c r="J343" s="89"/>
      <x:c r="K343" s="88"/>
      <x:c r="L343" s="90" t="n">
        <x:v>0</x:v>
      </x:c>
      <x:c r="M343" s="88"/>
      <x:c r="N343" s="91" t="n">
        <x:v>21</x:v>
      </x:c>
      <x:c r="O343" s="92" t="b">
        <x:v>0</x:v>
      </x:c>
      <x:c r="P343" s="88"/>
    </x:row>
    <x:row r="344">
      <x:c r="A344" s="56" t="str">
        <x:v>power-up-punch</x:v>
      </x:c>
      <x:c r="B344" s="56" t="str">
        <x:v>グロウパンチ</x:v>
      </x:c>
      <x:c r="C344" s="56" t="str">
        <x:v>Power-Up Punch</x:v>
      </x:c>
      <x:c r="D344" s="85" t="str">
        <x:v>かくとう</x:v>
      </x:c>
      <x:c r="E344" s="86" t="n">
        <x:v>40</x:v>
      </x:c>
      <x:c r="F344" s="85" t="str">
        <x:v>物理</x:v>
      </x:c>
      <x:c r="G344" s="85" t="str">
        <x:v>単体対象</x:v>
      </x:c>
      <x:c r="H344" s="87" t="b">
        <x:v>1</x:v>
      </x:c>
      <x:c r="I344" s="88"/>
      <x:c r="J344" s="89"/>
      <x:c r="K344" s="88"/>
      <x:c r="L344" s="90" t="n">
        <x:v>0</x:v>
      </x:c>
      <x:c r="M344" s="88"/>
      <x:c r="N344" s="91" t="n">
        <x:v>240</x:v>
      </x:c>
      <x:c r="O344" s="92" t="b">
        <x:v>0</x:v>
      </x:c>
      <x:c r="P344" s="88"/>
    </x:row>
    <x:row r="345">
      <x:c r="A345" s="56" t="str">
        <x:v>power-whip</x:v>
      </x:c>
      <x:c r="B345" s="56" t="str">
        <x:v>パワーウィップ</x:v>
      </x:c>
      <x:c r="C345" s="56" t="str">
        <x:v>Power Whip</x:v>
      </x:c>
      <x:c r="D345" s="85" t="str">
        <x:v>くさ</x:v>
      </x:c>
      <x:c r="E345" s="86" t="n">
        <x:v>120</x:v>
      </x:c>
      <x:c r="F345" s="85" t="str">
        <x:v>物理</x:v>
      </x:c>
      <x:c r="G345" s="85" t="str">
        <x:v>単体対象</x:v>
      </x:c>
      <x:c r="H345" s="87" t="b">
        <x:v>1</x:v>
      </x:c>
      <x:c r="I345" s="88"/>
      <x:c r="J345" s="89"/>
      <x:c r="K345" s="88"/>
      <x:c r="L345" s="90" t="n">
        <x:v>0</x:v>
      </x:c>
      <x:c r="M345" s="88"/>
      <x:c r="N345" s="91" t="n">
        <x:v>52</x:v>
      </x:c>
      <x:c r="O345" s="92" t="b">
        <x:v>0</x:v>
      </x:c>
      <x:c r="P345" s="88"/>
    </x:row>
    <x:row r="346">
      <x:c r="A346" s="56" t="str">
        <x:v>precipice-blades</x:v>
      </x:c>
      <x:c r="B346" s="56" t="str">
        <x:v>だんがいのつるぎ</x:v>
      </x:c>
      <x:c r="C346" s="56" t="str">
        <x:v>Precipice Blades</x:v>
      </x:c>
      <x:c r="D346" s="85" t="str">
        <x:v>じめん</x:v>
      </x:c>
      <x:c r="E346" s="86" t="n">
        <x:v>120</x:v>
      </x:c>
      <x:c r="F346" s="85" t="str">
        <x:v>物理</x:v>
      </x:c>
      <x:c r="G346" s="85" t="str">
        <x:v>複数対象</x:v>
      </x:c>
      <x:c r="H346" s="87" t="b">
        <x:v>1</x:v>
      </x:c>
      <x:c r="I346" s="88"/>
      <x:c r="J346" s="89"/>
      <x:c r="K346" s="88"/>
      <x:c r="L346" s="90" t="n">
        <x:v>0</x:v>
      </x:c>
      <x:c r="M346" s="88"/>
      <x:c r="N346" s="91" t="n">
        <x:v>2</x:v>
      </x:c>
      <x:c r="O346" s="92" t="b">
        <x:v>1</x:v>
      </x:c>
      <x:c r="P346" s="88"/>
    </x:row>
    <x:row r="347">
      <x:c r="A347" s="56" t="str">
        <x:v>prismatic-laser</x:v>
      </x:c>
      <x:c r="B347" s="56" t="str">
        <x:v>プリズムレーザー</x:v>
      </x:c>
      <x:c r="C347" s="56" t="str">
        <x:v>Prismatic Laser</x:v>
      </x:c>
      <x:c r="D347" s="85" t="str">
        <x:v>エスパー</x:v>
      </x:c>
      <x:c r="E347" s="86" t="n">
        <x:v>160</x:v>
      </x:c>
      <x:c r="F347" s="85" t="str">
        <x:v>特殊</x:v>
      </x:c>
      <x:c r="G347" s="85" t="str">
        <x:v>単体対象</x:v>
      </x:c>
      <x:c r="H347" s="87" t="b">
        <x:v>1</x:v>
      </x:c>
      <x:c r="I347" s="88"/>
      <x:c r="J347" s="89"/>
      <x:c r="K347" s="88"/>
      <x:c r="L347" s="90" t="n">
        <x:v>0</x:v>
      </x:c>
      <x:c r="M347" s="88"/>
      <x:c r="N347" s="91" t="n">
        <x:v>4</x:v>
      </x:c>
      <x:c r="O347" s="92" t="b">
        <x:v>0</x:v>
      </x:c>
      <x:c r="P347" s="88"/>
    </x:row>
    <x:row r="348">
      <x:c r="A348" s="56" t="str">
        <x:v>psybeam</x:v>
      </x:c>
      <x:c r="B348" s="56" t="str">
        <x:v>サイケこうせん</x:v>
      </x:c>
      <x:c r="C348" s="56" t="str">
        <x:v>Psybeam</x:v>
      </x:c>
      <x:c r="D348" s="85" t="str">
        <x:v>エスパー</x:v>
      </x:c>
      <x:c r="E348" s="86" t="n">
        <x:v>65</x:v>
      </x:c>
      <x:c r="F348" s="85" t="str">
        <x:v>特殊</x:v>
      </x:c>
      <x:c r="G348" s="85" t="str">
        <x:v>単体対象</x:v>
      </x:c>
      <x:c r="H348" s="87" t="b">
        <x:v>1</x:v>
      </x:c>
      <x:c r="I348" s="88"/>
      <x:c r="J348" s="89"/>
      <x:c r="K348" s="88"/>
      <x:c r="L348" s="90" t="n">
        <x:v>0</x:v>
      </x:c>
      <x:c r="M348" s="88"/>
      <x:c r="N348" s="91" t="n">
        <x:v>147</x:v>
      </x:c>
      <x:c r="O348" s="92" t="b">
        <x:v>0</x:v>
      </x:c>
      <x:c r="P348" s="88"/>
    </x:row>
    <x:row r="349">
      <x:c r="A349" s="56" t="str">
        <x:v>psyblade</x:v>
      </x:c>
      <x:c r="B349" s="56" t="str">
        <x:v>サイコブレイド </x:v>
      </x:c>
      <x:c r="C349" s="56" t="str">
        <x:v>Psyblade</x:v>
      </x:c>
      <x:c r="D349" s="85" t="str">
        <x:v>エスパー</x:v>
      </x:c>
      <x:c r="E349" s="86" t="n">
        <x:v>80</x:v>
      </x:c>
      <x:c r="F349" s="85" t="str">
        <x:v>物理</x:v>
      </x:c>
      <x:c r="G349" s="85" t="str">
        <x:v>単体対象</x:v>
      </x:c>
      <x:c r="H349" s="87" t="b">
        <x:v>1</x:v>
      </x:c>
      <x:c r="I349" s="88"/>
      <x:c r="J349" s="89"/>
      <x:c r="K349" s="88"/>
      <x:c r="L349" s="90" t="n">
        <x:v>0</x:v>
      </x:c>
      <x:c r="M349" s="88"/>
      <x:c r="N349" s="91" t="n">
        <x:v>1</x:v>
      </x:c>
      <x:c r="O349" s="92" t="b">
        <x:v>0</x:v>
      </x:c>
      <x:c r="P349" s="88"/>
    </x:row>
    <x:row r="350">
      <x:c r="A350" s="56" t="str">
        <x:v>psychic</x:v>
      </x:c>
      <x:c r="B350" s="56" t="str">
        <x:v>サイコキネシス</x:v>
      </x:c>
      <x:c r="C350" s="56" t="str">
        <x:v>Psychic</x:v>
      </x:c>
      <x:c r="D350" s="85" t="str">
        <x:v>エスパー</x:v>
      </x:c>
      <x:c r="E350" s="86" t="n">
        <x:v>90</x:v>
      </x:c>
      <x:c r="F350" s="85" t="str">
        <x:v>特殊</x:v>
      </x:c>
      <x:c r="G350" s="85" t="str">
        <x:v>単体対象</x:v>
      </x:c>
      <x:c r="H350" s="87" t="b">
        <x:v>1</x:v>
      </x:c>
      <x:c r="I350" s="88"/>
      <x:c r="J350" s="89"/>
      <x:c r="K350" s="88"/>
      <x:c r="L350" s="90" t="n">
        <x:v>0</x:v>
      </x:c>
      <x:c r="M350" s="88"/>
      <x:c r="N350" s="91" t="n">
        <x:v>328</x:v>
      </x:c>
      <x:c r="O350" s="92" t="b">
        <x:v>0</x:v>
      </x:c>
      <x:c r="P350" s="88"/>
    </x:row>
    <x:row r="351">
      <x:c r="A351" s="56" t="str">
        <x:v>psychic-fangs</x:v>
      </x:c>
      <x:c r="B351" s="56" t="str">
        <x:v>サイコファング</x:v>
      </x:c>
      <x:c r="C351" s="56" t="str">
        <x:v>Psychic Fangs</x:v>
      </x:c>
      <x:c r="D351" s="85" t="str">
        <x:v>エスパー</x:v>
      </x:c>
      <x:c r="E351" s="86" t="n">
        <x:v>85</x:v>
      </x:c>
      <x:c r="F351" s="85" t="str">
        <x:v>物理</x:v>
      </x:c>
      <x:c r="G351" s="85" t="str">
        <x:v>単体対象</x:v>
      </x:c>
      <x:c r="H351" s="87" t="b">
        <x:v>1</x:v>
      </x:c>
      <x:c r="I351" s="88"/>
      <x:c r="J351" s="89"/>
      <x:c r="K351" s="88"/>
      <x:c r="L351" s="90" t="n">
        <x:v>0</x:v>
      </x:c>
      <x:c r="M351" s="88"/>
      <x:c r="N351" s="91" t="n">
        <x:v>92</x:v>
      </x:c>
      <x:c r="O351" s="92" t="b">
        <x:v>0</x:v>
      </x:c>
      <x:c r="P351" s="88"/>
    </x:row>
    <x:row r="352">
      <x:c r="A352" s="56" t="str">
        <x:v>psychic-noise</x:v>
      </x:c>
      <x:c r="B352" s="56" t="str">
        <x:v>サイコノイズ</x:v>
      </x:c>
      <x:c r="C352" s="56" t="str">
        <x:v>Psychic Noise</x:v>
      </x:c>
      <x:c r="D352" s="85" t="str">
        <x:v>エスパー</x:v>
      </x:c>
      <x:c r="E352" s="86" t="n">
        <x:v>75</x:v>
      </x:c>
      <x:c r="F352" s="85" t="str">
        <x:v>特殊</x:v>
      </x:c>
      <x:c r="G352" s="85" t="str">
        <x:v>単体対象</x:v>
      </x:c>
      <x:c r="H352" s="87" t="b">
        <x:v>1</x:v>
      </x:c>
      <x:c r="I352" s="88"/>
      <x:c r="J352" s="89"/>
      <x:c r="K352" s="88"/>
      <x:c r="L352" s="90" t="n">
        <x:v>0</x:v>
      </x:c>
      <x:c r="M352" s="88"/>
      <x:c r="N352" s="91" t="n">
        <x:v>84</x:v>
      </x:c>
      <x:c r="O352" s="92" t="b">
        <x:v>0</x:v>
      </x:c>
      <x:c r="P352" s="88"/>
    </x:row>
    <x:row r="353">
      <x:c r="A353" s="56" t="str">
        <x:v>psycho-boost</x:v>
      </x:c>
      <x:c r="B353" s="56" t="str">
        <x:v>サイコブースト</x:v>
      </x:c>
      <x:c r="C353" s="56" t="str">
        <x:v>Psycho Boost</x:v>
      </x:c>
      <x:c r="D353" s="85" t="str">
        <x:v>エスパー</x:v>
      </x:c>
      <x:c r="E353" s="86" t="n">
        <x:v>140</x:v>
      </x:c>
      <x:c r="F353" s="85" t="str">
        <x:v>特殊</x:v>
      </x:c>
      <x:c r="G353" s="85" t="str">
        <x:v>単体対象</x:v>
      </x:c>
      <x:c r="H353" s="87" t="b">
        <x:v>1</x:v>
      </x:c>
      <x:c r="I353" s="88"/>
      <x:c r="J353" s="89"/>
      <x:c r="K353" s="88"/>
      <x:c r="L353" s="90" t="n">
        <x:v>0</x:v>
      </x:c>
      <x:c r="M353" s="88"/>
      <x:c r="N353" s="91" t="n">
        <x:v>5</x:v>
      </x:c>
      <x:c r="O353" s="92" t="b">
        <x:v>0</x:v>
      </x:c>
      <x:c r="P353" s="88"/>
    </x:row>
    <x:row r="354">
      <x:c r="A354" s="56" t="str">
        <x:v>psycho-cut</x:v>
      </x:c>
      <x:c r="B354" s="56" t="str">
        <x:v>サイコカッター</x:v>
      </x:c>
      <x:c r="C354" s="56" t="str">
        <x:v>Psycho Cut</x:v>
      </x:c>
      <x:c r="D354" s="85" t="str">
        <x:v>エスパー</x:v>
      </x:c>
      <x:c r="E354" s="86" t="n">
        <x:v>70</x:v>
      </x:c>
      <x:c r="F354" s="85" t="str">
        <x:v>物理</x:v>
      </x:c>
      <x:c r="G354" s="85" t="str">
        <x:v>単体対象</x:v>
      </x:c>
      <x:c r="H354" s="87" t="b">
        <x:v>1</x:v>
      </x:c>
      <x:c r="I354" s="88"/>
      <x:c r="J354" s="89"/>
      <x:c r="K354" s="88"/>
      <x:c r="L354" s="90" t="n">
        <x:v>0</x:v>
      </x:c>
      <x:c r="M354" s="88"/>
      <x:c r="N354" s="91" t="n">
        <x:v>71</x:v>
      </x:c>
      <x:c r="O354" s="92" t="b">
        <x:v>0</x:v>
      </x:c>
      <x:c r="P354" s="88"/>
    </x:row>
    <x:row r="355">
      <x:c r="A355" s="56" t="str">
        <x:v>psyshield-bash</x:v>
      </x:c>
      <x:c r="B355" s="56" t="str">
        <x:v>バリアーラッシュ</x:v>
      </x:c>
      <x:c r="C355" s="56" t="str">
        <x:v>Psyshield Bash</x:v>
      </x:c>
      <x:c r="D355" s="85" t="str">
        <x:v>エスパー</x:v>
      </x:c>
      <x:c r="E355" s="86" t="n">
        <x:v>70</x:v>
      </x:c>
      <x:c r="F355" s="85" t="str">
        <x:v>物理</x:v>
      </x:c>
      <x:c r="G355" s="85" t="str">
        <x:v>単体対象</x:v>
      </x:c>
      <x:c r="H355" s="87" t="b">
        <x:v>1</x:v>
      </x:c>
      <x:c r="I355" s="88"/>
      <x:c r="J355" s="89"/>
      <x:c r="K355" s="88"/>
      <x:c r="L355" s="90" t="n">
        <x:v>0</x:v>
      </x:c>
      <x:c r="M355" s="88"/>
      <x:c r="N355" s="91" t="n">
        <x:v>2</x:v>
      </x:c>
      <x:c r="O355" s="92" t="b">
        <x:v>0</x:v>
      </x:c>
      <x:c r="P355" s="88"/>
    </x:row>
    <x:row r="356">
      <x:c r="A356" s="56" t="str">
        <x:v>psyshock</x:v>
      </x:c>
      <x:c r="B356" s="56" t="str">
        <x:v>サイコショック</x:v>
      </x:c>
      <x:c r="C356" s="56" t="str">
        <x:v>Psyshock</x:v>
      </x:c>
      <x:c r="D356" s="85" t="str">
        <x:v>エスパー</x:v>
      </x:c>
      <x:c r="E356" s="86" t="n">
        <x:v>80</x:v>
      </x:c>
      <x:c r="F356" s="85" t="str">
        <x:v>特殊</x:v>
      </x:c>
      <x:c r="G356" s="85" t="str">
        <x:v>単体対象</x:v>
      </x:c>
      <x:c r="H356" s="87" t="b">
        <x:v>1</x:v>
      </x:c>
      <x:c r="I356" s="88"/>
      <x:c r="J356" s="89"/>
      <x:c r="K356" s="88"/>
      <x:c r="L356" s="90" t="n">
        <x:v>0</x:v>
      </x:c>
      <x:c r="M356" s="88"/>
      <x:c r="N356" s="91" t="n">
        <x:v>172</x:v>
      </x:c>
      <x:c r="O356" s="92" t="b">
        <x:v>0</x:v>
      </x:c>
      <x:c r="P356" s="88"/>
    </x:row>
    <x:row r="357">
      <x:c r="A357" s="56" t="str">
        <x:v>psystrike</x:v>
      </x:c>
      <x:c r="B357" s="56" t="str">
        <x:v>サイコブレイク</x:v>
      </x:c>
      <x:c r="C357" s="56" t="str">
        <x:v>Psystrike</x:v>
      </x:c>
      <x:c r="D357" s="85" t="str">
        <x:v>エスパー</x:v>
      </x:c>
      <x:c r="E357" s="86" t="n">
        <x:v>100</x:v>
      </x:c>
      <x:c r="F357" s="85" t="str">
        <x:v>特殊</x:v>
      </x:c>
      <x:c r="G357" s="85" t="str">
        <x:v>単体対象</x:v>
      </x:c>
      <x:c r="H357" s="87" t="b">
        <x:v>1</x:v>
      </x:c>
      <x:c r="I357" s="88"/>
      <x:c r="J357" s="89"/>
      <x:c r="K357" s="88"/>
      <x:c r="L357" s="90" t="n">
        <x:v>0</x:v>
      </x:c>
      <x:c r="M357" s="88"/>
      <x:c r="N357" s="91" t="n">
        <x:v>3</x:v>
      </x:c>
      <x:c r="O357" s="92" t="b">
        <x:v>0</x:v>
      </x:c>
      <x:c r="P357" s="88"/>
    </x:row>
    <x:row r="358">
      <x:c r="A358" s="56" t="str">
        <x:v>pursuit</x:v>
      </x:c>
      <x:c r="B358" s="56" t="str">
        <x:v>おいうち</x:v>
      </x:c>
      <x:c r="C358" s="56" t="str">
        <x:v>Pursuit</x:v>
      </x:c>
      <x:c r="D358" s="85" t="str">
        <x:v>あく</x:v>
      </x:c>
      <x:c r="E358" s="86" t="n">
        <x:v>40</x:v>
      </x:c>
      <x:c r="F358" s="85" t="str">
        <x:v>物理</x:v>
      </x:c>
      <x:c r="G358" s="85" t="str">
        <x:v>単体対象</x:v>
      </x:c>
      <x:c r="H358" s="87" t="b">
        <x:v>1</x:v>
      </x:c>
      <x:c r="I358" s="88"/>
      <x:c r="J358" s="89"/>
      <x:c r="K358" s="88"/>
      <x:c r="L358" s="90" t="n">
        <x:v>0</x:v>
      </x:c>
      <x:c r="M358" s="88"/>
      <x:c r="N358" s="91" t="n">
        <x:v>117</x:v>
      </x:c>
      <x:c r="O358" s="92" t="b">
        <x:v>0</x:v>
      </x:c>
      <x:c r="P358" s="88"/>
    </x:row>
    <x:row r="359">
      <x:c r="A359" s="56" t="str">
        <x:v>pyro-ball</x:v>
      </x:c>
      <x:c r="B359" s="56" t="str">
        <x:v>かえんボール</x:v>
      </x:c>
      <x:c r="C359" s="56" t="str">
        <x:v>Pyro Ball</x:v>
      </x:c>
      <x:c r="D359" s="85" t="str">
        <x:v>ほのお</x:v>
      </x:c>
      <x:c r="E359" s="86" t="n">
        <x:v>120</x:v>
      </x:c>
      <x:c r="F359" s="85" t="str">
        <x:v>物理</x:v>
      </x:c>
      <x:c r="G359" s="85" t="str">
        <x:v>単体対象</x:v>
      </x:c>
      <x:c r="H359" s="87" t="b">
        <x:v>1</x:v>
      </x:c>
      <x:c r="I359" s="88"/>
      <x:c r="J359" s="89"/>
      <x:c r="K359" s="88"/>
      <x:c r="L359" s="90" t="n">
        <x:v>0</x:v>
      </x:c>
      <x:c r="M359" s="88"/>
      <x:c r="N359" s="91" t="n">
        <x:v>1</x:v>
      </x:c>
      <x:c r="O359" s="92" t="b">
        <x:v>0</x:v>
      </x:c>
      <x:c r="P359" s="88"/>
    </x:row>
    <x:row r="360">
      <x:c r="A360" s="56" t="str">
        <x:v>quick-attack</x:v>
      </x:c>
      <x:c r="B360" s="56" t="str">
        <x:v>でんこうせっか</x:v>
      </x:c>
      <x:c r="C360" s="56" t="str">
        <x:v>Quick Attack</x:v>
      </x:c>
      <x:c r="D360" s="85" t="str">
        <x:v>ノーマル</x:v>
      </x:c>
      <x:c r="E360" s="86" t="n">
        <x:v>40</x:v>
      </x:c>
      <x:c r="F360" s="85" t="str">
        <x:v>物理</x:v>
      </x:c>
      <x:c r="G360" s="85" t="str">
        <x:v>単体対象</x:v>
      </x:c>
      <x:c r="H360" s="87" t="b">
        <x:v>1</x:v>
      </x:c>
      <x:c r="I360" s="88"/>
      <x:c r="J360" s="89"/>
      <x:c r="K360" s="88"/>
      <x:c r="L360" s="90" t="n">
        <x:v>1</x:v>
      </x:c>
      <x:c r="M360" s="88"/>
      <x:c r="N360" s="91" t="n">
        <x:v>208</x:v>
      </x:c>
      <x:c r="O360" s="92" t="b">
        <x:v>0</x:v>
      </x:c>
      <x:c r="P360" s="88"/>
    </x:row>
    <x:row r="361">
      <x:c r="A361" s="56" t="str">
        <x:v>rage</x:v>
      </x:c>
      <x:c r="B361" s="56" t="str">
        <x:v>いかり</x:v>
      </x:c>
      <x:c r="C361" s="56" t="str">
        <x:v>Rage</x:v>
      </x:c>
      <x:c r="D361" s="85" t="str">
        <x:v>ノーマル</x:v>
      </x:c>
      <x:c r="E361" s="86" t="n">
        <x:v>20</x:v>
      </x:c>
      <x:c r="F361" s="85" t="str">
        <x:v>物理</x:v>
      </x:c>
      <x:c r="G361" s="85" t="str">
        <x:v>単体対象</x:v>
      </x:c>
      <x:c r="H361" s="87" t="b">
        <x:v>1</x:v>
      </x:c>
      <x:c r="I361" s="88"/>
      <x:c r="J361" s="89"/>
      <x:c r="K361" s="88"/>
      <x:c r="L361" s="90" t="n">
        <x:v>0</x:v>
      </x:c>
      <x:c r="M361" s="88"/>
      <x:c r="N361" s="91" t="n">
        <x:v>182</x:v>
      </x:c>
      <x:c r="O361" s="92" t="b">
        <x:v>0</x:v>
      </x:c>
      <x:c r="P361" s="88"/>
    </x:row>
    <x:row r="362">
      <x:c r="A362" s="56" t="str">
        <x:v>rage-fist</x:v>
      </x:c>
      <x:c r="B362" s="56" t="str">
        <x:v>ふんどのこぶし</x:v>
      </x:c>
      <x:c r="C362" s="56" t="str">
        <x:v>Rage Fist</x:v>
      </x:c>
      <x:c r="D362" s="85" t="str">
        <x:v>ゴースト</x:v>
      </x:c>
      <x:c r="E362" s="86" t="n">
        <x:v>50</x:v>
      </x:c>
      <x:c r="F362" s="85" t="str">
        <x:v>物理</x:v>
      </x:c>
      <x:c r="G362" s="85" t="str">
        <x:v>単体対象</x:v>
      </x:c>
      <x:c r="H362" s="87" t="b">
        <x:v>1</x:v>
      </x:c>
      <x:c r="I362" s="88"/>
      <x:c r="J362" s="89"/>
      <x:c r="K362" s="88"/>
      <x:c r="L362" s="90" t="n">
        <x:v>0</x:v>
      </x:c>
      <x:c r="M362" s="88"/>
      <x:c r="N362" s="91" t="n">
        <x:v>2</x:v>
      </x:c>
      <x:c r="O362" s="92" t="b">
        <x:v>0</x:v>
      </x:c>
      <x:c r="P362" s="88"/>
    </x:row>
    <x:row r="363">
      <x:c r="A363" s="56" t="str">
        <x:v>raging-bull</x:v>
      </x:c>
      <x:c r="B363" s="56" t="str">
        <x:v>レイジングブル</x:v>
      </x:c>
      <x:c r="C363" s="56" t="str">
        <x:v>Raging Bull</x:v>
      </x:c>
      <x:c r="D363" s="85" t="str">
        <x:v>ノーマル</x:v>
      </x:c>
      <x:c r="E363" s="86" t="n">
        <x:v>90</x:v>
      </x:c>
      <x:c r="F363" s="85" t="str">
        <x:v>物理</x:v>
      </x:c>
      <x:c r="G363" s="85" t="str">
        <x:v>単体対象</x:v>
      </x:c>
      <x:c r="H363" s="87" t="b">
        <x:v>1</x:v>
      </x:c>
      <x:c r="I363" s="88"/>
      <x:c r="J363" s="89"/>
      <x:c r="K363" s="88"/>
      <x:c r="L363" s="90" t="n">
        <x:v>0</x:v>
      </x:c>
      <x:c r="M363" s="88"/>
      <x:c r="N363" s="91" t="n">
        <x:v>4</x:v>
      </x:c>
      <x:c r="O363" s="92" t="b">
        <x:v>0</x:v>
      </x:c>
      <x:c r="P363" s="88"/>
    </x:row>
    <x:row r="364">
      <x:c r="A364" s="56" t="str">
        <x:v>raging-fury</x:v>
      </x:c>
      <x:c r="B364" s="56" t="str">
        <x:v>だいふんげき</x:v>
      </x:c>
      <x:c r="C364" s="56" t="str">
        <x:v>Raging Fury</x:v>
      </x:c>
      <x:c r="D364" s="85" t="str">
        <x:v>ほのお</x:v>
      </x:c>
      <x:c r="E364" s="86" t="n">
        <x:v>120</x:v>
      </x:c>
      <x:c r="F364" s="85" t="str">
        <x:v>物理</x:v>
      </x:c>
      <x:c r="G364" s="85" t="str">
        <x:v>単体対象</x:v>
      </x:c>
      <x:c r="H364" s="87" t="b">
        <x:v>1</x:v>
      </x:c>
      <x:c r="I364" s="88"/>
      <x:c r="J364" s="89"/>
      <x:c r="K364" s="88"/>
      <x:c r="L364" s="90" t="n">
        <x:v>0</x:v>
      </x:c>
      <x:c r="M364" s="88"/>
      <x:c r="N364" s="91" t="n">
        <x:v>5</x:v>
      </x:c>
      <x:c r="O364" s="92" t="b">
        <x:v>0</x:v>
      </x:c>
      <x:c r="P364" s="88"/>
    </x:row>
    <x:row r="365">
      <x:c r="A365" s="56" t="str">
        <x:v>rapid-spin</x:v>
      </x:c>
      <x:c r="B365" s="56" t="str">
        <x:v>こうそくスピン</x:v>
      </x:c>
      <x:c r="C365" s="56" t="str">
        <x:v>Rapid Spin</x:v>
      </x:c>
      <x:c r="D365" s="85" t="str">
        <x:v>ノーマル</x:v>
      </x:c>
      <x:c r="E365" s="86" t="n">
        <x:v>50</x:v>
      </x:c>
      <x:c r="F365" s="85" t="str">
        <x:v>物理</x:v>
      </x:c>
      <x:c r="G365" s="85" t="str">
        <x:v>単体対象</x:v>
      </x:c>
      <x:c r="H365" s="87" t="b">
        <x:v>1</x:v>
      </x:c>
      <x:c r="I365" s="88"/>
      <x:c r="J365" s="89"/>
      <x:c r="K365" s="88"/>
      <x:c r="L365" s="90" t="n">
        <x:v>0</x:v>
      </x:c>
      <x:c r="M365" s="88"/>
      <x:c r="N365" s="91" t="n">
        <x:v>67</x:v>
      </x:c>
      <x:c r="O365" s="92" t="b">
        <x:v>0</x:v>
      </x:c>
      <x:c r="P365" s="88"/>
    </x:row>
    <x:row r="366">
      <x:c r="A366" s="56" t="str">
        <x:v>razor-leaf</x:v>
      </x:c>
      <x:c r="B366" s="56" t="str">
        <x:v>はっぱカッター</x:v>
      </x:c>
      <x:c r="C366" s="56" t="str">
        <x:v>Razor Leaf</x:v>
      </x:c>
      <x:c r="D366" s="85" t="str">
        <x:v>くさ</x:v>
      </x:c>
      <x:c r="E366" s="86" t="n">
        <x:v>55</x:v>
      </x:c>
      <x:c r="F366" s="85" t="str">
        <x:v>物理</x:v>
      </x:c>
      <x:c r="G366" s="85" t="str">
        <x:v>複数対象</x:v>
      </x:c>
      <x:c r="H366" s="87" t="b">
        <x:v>1</x:v>
      </x:c>
      <x:c r="I366" s="88"/>
      <x:c r="J366" s="89"/>
      <x:c r="K366" s="88"/>
      <x:c r="L366" s="90" t="n">
        <x:v>0</x:v>
      </x:c>
      <x:c r="M366" s="88"/>
      <x:c r="N366" s="91" t="n">
        <x:v>74</x:v>
      </x:c>
      <x:c r="O366" s="92" t="b">
        <x:v>1</x:v>
      </x:c>
      <x:c r="P366" s="88"/>
    </x:row>
    <x:row r="367">
      <x:c r="A367" s="56" t="str">
        <x:v>razor-shell</x:v>
      </x:c>
      <x:c r="B367" s="56" t="str">
        <x:v>シェルブレード</x:v>
      </x:c>
      <x:c r="C367" s="56" t="str">
        <x:v>Razor Shell</x:v>
      </x:c>
      <x:c r="D367" s="85" t="str">
        <x:v>みず</x:v>
      </x:c>
      <x:c r="E367" s="86" t="n">
        <x:v>75</x:v>
      </x:c>
      <x:c r="F367" s="85" t="str">
        <x:v>物理</x:v>
      </x:c>
      <x:c r="G367" s="85" t="str">
        <x:v>単体対象</x:v>
      </x:c>
      <x:c r="H367" s="87" t="b">
        <x:v>1</x:v>
      </x:c>
      <x:c r="I367" s="88"/>
      <x:c r="J367" s="89"/>
      <x:c r="K367" s="88"/>
      <x:c r="L367" s="90" t="n">
        <x:v>0</x:v>
      </x:c>
      <x:c r="M367" s="88"/>
      <x:c r="N367" s="91" t="n">
        <x:v>23</x:v>
      </x:c>
      <x:c r="O367" s="92" t="b">
        <x:v>0</x:v>
      </x:c>
      <x:c r="P367" s="88"/>
    </x:row>
    <x:row r="368">
      <x:c r="A368" s="56" t="str">
        <x:v>razor-wind</x:v>
      </x:c>
      <x:c r="B368" s="56" t="str">
        <x:v>かまいたち</x:v>
      </x:c>
      <x:c r="C368" s="56" t="str">
        <x:v>Razor Wind</x:v>
      </x:c>
      <x:c r="D368" s="85" t="str">
        <x:v>ノーマル</x:v>
      </x:c>
      <x:c r="E368" s="86" t="n">
        <x:v>80</x:v>
      </x:c>
      <x:c r="F368" s="85" t="str">
        <x:v>特殊</x:v>
      </x:c>
      <x:c r="G368" s="85" t="str">
        <x:v>複数対象</x:v>
      </x:c>
      <x:c r="H368" s="87" t="b">
        <x:v>1</x:v>
      </x:c>
      <x:c r="I368" s="88"/>
      <x:c r="J368" s="89"/>
      <x:c r="K368" s="88"/>
      <x:c r="L368" s="90" t="n">
        <x:v>0</x:v>
      </x:c>
      <x:c r="M368" s="88"/>
      <x:c r="N368" s="91" t="n">
        <x:v>51</x:v>
      </x:c>
      <x:c r="O368" s="92" t="b">
        <x:v>1</x:v>
      </x:c>
      <x:c r="P368" s="88"/>
    </x:row>
    <x:row r="369">
      <x:c r="A369" s="56" t="str">
        <x:v>relic-song</x:v>
      </x:c>
      <x:c r="B369" s="56" t="str">
        <x:v>いにしえのうた</x:v>
      </x:c>
      <x:c r="C369" s="56" t="str">
        <x:v>Relic Song</x:v>
      </x:c>
      <x:c r="D369" s="85" t="str">
        <x:v>ノーマル</x:v>
      </x:c>
      <x:c r="E369" s="86" t="n">
        <x:v>75</x:v>
      </x:c>
      <x:c r="F369" s="85" t="str">
        <x:v>特殊</x:v>
      </x:c>
      <x:c r="G369" s="85" t="str">
        <x:v>複数対象</x:v>
      </x:c>
      <x:c r="H369" s="87" t="b">
        <x:v>1</x:v>
      </x:c>
      <x:c r="I369" s="88"/>
      <x:c r="J369" s="89"/>
      <x:c r="K369" s="88"/>
      <x:c r="L369" s="90" t="n">
        <x:v>0</x:v>
      </x:c>
      <x:c r="M369" s="88"/>
      <x:c r="N369" s="91" t="n">
        <x:v>2</x:v>
      </x:c>
      <x:c r="O369" s="92" t="b">
        <x:v>1</x:v>
      </x:c>
      <x:c r="P369" s="88"/>
    </x:row>
    <x:row r="370">
      <x:c r="A370" s="56" t="str">
        <x:v>retaliate</x:v>
      </x:c>
      <x:c r="B370" s="56" t="str">
        <x:v>かたきうち</x:v>
      </x:c>
      <x:c r="C370" s="56" t="str">
        <x:v>Retaliate</x:v>
      </x:c>
      <x:c r="D370" s="85" t="str">
        <x:v>ノーマル</x:v>
      </x:c>
      <x:c r="E370" s="86" t="n">
        <x:v>70</x:v>
      </x:c>
      <x:c r="F370" s="85" t="str">
        <x:v>物理</x:v>
      </x:c>
      <x:c r="G370" s="85" t="str">
        <x:v>単体対象</x:v>
      </x:c>
      <x:c r="H370" s="87" t="b">
        <x:v>1</x:v>
      </x:c>
      <x:c r="I370" s="88"/>
      <x:c r="J370" s="89"/>
      <x:c r="K370" s="88"/>
      <x:c r="L370" s="90" t="n">
        <x:v>0</x:v>
      </x:c>
      <x:c r="M370" s="88"/>
      <x:c r="N370" s="91" t="n">
        <x:v>244</x:v>
      </x:c>
      <x:c r="O370" s="92" t="b">
        <x:v>0</x:v>
      </x:c>
      <x:c r="P370" s="88"/>
    </x:row>
    <x:row r="371">
      <x:c r="A371" s="56" t="str">
        <x:v>revelation-dance</x:v>
      </x:c>
      <x:c r="B371" s="56" t="str">
        <x:v>めざめるダンス</x:v>
      </x:c>
      <x:c r="C371" s="56" t="str">
        <x:v>Revelation Dance</x:v>
      </x:c>
      <x:c r="D371" s="85" t="str">
        <x:v>ノーマル</x:v>
      </x:c>
      <x:c r="E371" s="86" t="n">
        <x:v>90</x:v>
      </x:c>
      <x:c r="F371" s="85" t="str">
        <x:v>特殊</x:v>
      </x:c>
      <x:c r="G371" s="85" t="str">
        <x:v>単体対象</x:v>
      </x:c>
      <x:c r="H371" s="87" t="b">
        <x:v>1</x:v>
      </x:c>
      <x:c r="I371" s="88"/>
      <x:c r="J371" s="89"/>
      <x:c r="K371" s="88"/>
      <x:c r="L371" s="90" t="n">
        <x:v>0</x:v>
      </x:c>
      <x:c r="M371" s="88"/>
      <x:c r="N371" s="91" t="n">
        <x:v>4</x:v>
      </x:c>
      <x:c r="O371" s="92" t="b">
        <x:v>0</x:v>
      </x:c>
      <x:c r="P371" s="88"/>
    </x:row>
    <x:row r="372">
      <x:c r="A372" s="56" t="str">
        <x:v>revenge</x:v>
      </x:c>
      <x:c r="B372" s="56" t="str">
        <x:v>リベンジ</x:v>
      </x:c>
      <x:c r="C372" s="56" t="str">
        <x:v>Revenge</x:v>
      </x:c>
      <x:c r="D372" s="85" t="str">
        <x:v>かくとう</x:v>
      </x:c>
      <x:c r="E372" s="86" t="n">
        <x:v>60</x:v>
      </x:c>
      <x:c r="F372" s="85" t="str">
        <x:v>物理</x:v>
      </x:c>
      <x:c r="G372" s="85" t="str">
        <x:v>単体対象</x:v>
      </x:c>
      <x:c r="H372" s="87" t="b">
        <x:v>1</x:v>
      </x:c>
      <x:c r="I372" s="88"/>
      <x:c r="J372" s="89"/>
      <x:c r="K372" s="88"/>
      <x:c r="L372" s="90" t="n">
        <x:v>0</x:v>
      </x:c>
      <x:c r="M372" s="88"/>
      <x:c r="N372" s="91" t="n">
        <x:v>125</x:v>
      </x:c>
      <x:c r="O372" s="92" t="b">
        <x:v>0</x:v>
      </x:c>
      <x:c r="P372" s="88"/>
    </x:row>
    <x:row r="373">
      <x:c r="A373" s="56" t="str">
        <x:v>rising-voltage</x:v>
      </x:c>
      <x:c r="B373" s="56" t="str">
        <x:v>ライジングボルト</x:v>
      </x:c>
      <x:c r="C373" s="56" t="str">
        <x:v>Rising Voltage</x:v>
      </x:c>
      <x:c r="D373" s="85" t="str">
        <x:v>でんき</x:v>
      </x:c>
      <x:c r="E373" s="86" t="n">
        <x:v>70</x:v>
      </x:c>
      <x:c r="F373" s="85" t="str">
        <x:v>特殊</x:v>
      </x:c>
      <x:c r="G373" s="85" t="str">
        <x:v>単体対象</x:v>
      </x:c>
      <x:c r="H373" s="87" t="b">
        <x:v>1</x:v>
      </x:c>
      <x:c r="I373" s="88"/>
      <x:c r="J373" s="89"/>
      <x:c r="K373" s="88"/>
      <x:c r="L373" s="90" t="n">
        <x:v>0</x:v>
      </x:c>
      <x:c r="M373" s="88"/>
      <x:c r="N373" s="91" t="n">
        <x:v>65</x:v>
      </x:c>
      <x:c r="O373" s="92" t="b">
        <x:v>0</x:v>
      </x:c>
      <x:c r="P373" s="88"/>
    </x:row>
    <x:row r="374">
      <x:c r="A374" s="56" t="str">
        <x:v>roar-of-time</x:v>
      </x:c>
      <x:c r="B374" s="56" t="str">
        <x:v>ときのほうこう</x:v>
      </x:c>
      <x:c r="C374" s="56" t="str">
        <x:v>Roar of Time</x:v>
      </x:c>
      <x:c r="D374" s="85" t="str">
        <x:v>ドラゴン</x:v>
      </x:c>
      <x:c r="E374" s="86" t="n">
        <x:v>150</x:v>
      </x:c>
      <x:c r="F374" s="85" t="str">
        <x:v>特殊</x:v>
      </x:c>
      <x:c r="G374" s="85" t="str">
        <x:v>単体対象</x:v>
      </x:c>
      <x:c r="H374" s="87" t="b">
        <x:v>1</x:v>
      </x:c>
      <x:c r="I374" s="88"/>
      <x:c r="J374" s="89"/>
      <x:c r="K374" s="88"/>
      <x:c r="L374" s="90" t="n">
        <x:v>0</x:v>
      </x:c>
      <x:c r="M374" s="88"/>
      <x:c r="N374" s="91" t="n">
        <x:v>2</x:v>
      </x:c>
      <x:c r="O374" s="92" t="b">
        <x:v>0</x:v>
      </x:c>
      <x:c r="P374" s="88"/>
    </x:row>
    <x:row r="375">
      <x:c r="A375" s="56" t="str">
        <x:v>rock-blast</x:v>
      </x:c>
      <x:c r="B375" s="56" t="str">
        <x:v>ロックブラスト</x:v>
      </x:c>
      <x:c r="C375" s="56" t="str">
        <x:v>Rock Blast</x:v>
      </x:c>
      <x:c r="D375" s="85" t="str">
        <x:v>いわ</x:v>
      </x:c>
      <x:c r="E375" s="86" t="n">
        <x:v>25</x:v>
      </x:c>
      <x:c r="F375" s="85" t="str">
        <x:v>物理</x:v>
      </x:c>
      <x:c r="G375" s="85" t="str">
        <x:v>単体対象</x:v>
      </x:c>
      <x:c r="H375" s="87" t="b">
        <x:v>1</x:v>
      </x:c>
      <x:c r="I375" s="88"/>
      <x:c r="J375" s="89"/>
      <x:c r="K375" s="88"/>
      <x:c r="L375" s="90" t="n">
        <x:v>0</x:v>
      </x:c>
      <x:c r="M375" s="88"/>
      <x:c r="N375" s="91" t="n">
        <x:v>148</x:v>
      </x:c>
      <x:c r="O375" s="92" t="b">
        <x:v>0</x:v>
      </x:c>
      <x:c r="P375" s="88"/>
    </x:row>
    <x:row r="376">
      <x:c r="A376" s="56" t="str">
        <x:v>rock-climb</x:v>
      </x:c>
      <x:c r="B376" s="56" t="str">
        <x:v>ロッククライム</x:v>
      </x:c>
      <x:c r="C376" s="56" t="str">
        <x:v>Rock Climb</x:v>
      </x:c>
      <x:c r="D376" s="85" t="str">
        <x:v>ノーマル</x:v>
      </x:c>
      <x:c r="E376" s="86" t="n">
        <x:v>90</x:v>
      </x:c>
      <x:c r="F376" s="85" t="str">
        <x:v>物理</x:v>
      </x:c>
      <x:c r="G376" s="85" t="str">
        <x:v>単体対象</x:v>
      </x:c>
      <x:c r="H376" s="87" t="b">
        <x:v>1</x:v>
      </x:c>
      <x:c r="I376" s="88"/>
      <x:c r="J376" s="89"/>
      <x:c r="K376" s="88"/>
      <x:c r="L376" s="90" t="n">
        <x:v>0</x:v>
      </x:c>
      <x:c r="M376" s="88"/>
      <x:c r="N376" s="91" t="n">
        <x:v>116</x:v>
      </x:c>
      <x:c r="O376" s="92" t="b">
        <x:v>0</x:v>
      </x:c>
      <x:c r="P376" s="88"/>
    </x:row>
    <x:row r="377">
      <x:c r="A377" s="56" t="str">
        <x:v>rock-slide</x:v>
      </x:c>
      <x:c r="B377" s="56" t="str">
        <x:v>いわなだれ</x:v>
      </x:c>
      <x:c r="C377" s="56" t="str">
        <x:v>Rock Slide</x:v>
      </x:c>
      <x:c r="D377" s="85" t="str">
        <x:v>いわ</x:v>
      </x:c>
      <x:c r="E377" s="86" t="n">
        <x:v>75</x:v>
      </x:c>
      <x:c r="F377" s="85" t="str">
        <x:v>物理</x:v>
      </x:c>
      <x:c r="G377" s="85" t="str">
        <x:v>複数対象</x:v>
      </x:c>
      <x:c r="H377" s="87" t="b">
        <x:v>1</x:v>
      </x:c>
      <x:c r="I377" s="88"/>
      <x:c r="J377" s="89"/>
      <x:c r="K377" s="88"/>
      <x:c r="L377" s="90" t="n">
        <x:v>0</x:v>
      </x:c>
      <x:c r="M377" s="88"/>
      <x:c r="N377" s="91" t="n">
        <x:v>487</x:v>
      </x:c>
      <x:c r="O377" s="92" t="b">
        <x:v>1</x:v>
      </x:c>
      <x:c r="P377" s="88"/>
    </x:row>
    <x:row r="378">
      <x:c r="A378" s="56" t="str">
        <x:v>rock-smash</x:v>
      </x:c>
      <x:c r="B378" s="56" t="str">
        <x:v>いわくだき</x:v>
      </x:c>
      <x:c r="C378" s="56" t="str">
        <x:v>Rock Smash</x:v>
      </x:c>
      <x:c r="D378" s="85" t="str">
        <x:v>かくとう</x:v>
      </x:c>
      <x:c r="E378" s="86" t="n">
        <x:v>40</x:v>
      </x:c>
      <x:c r="F378" s="85" t="str">
        <x:v>物理</x:v>
      </x:c>
      <x:c r="G378" s="85" t="str">
        <x:v>単体対象</x:v>
      </x:c>
      <x:c r="H378" s="87" t="b">
        <x:v>1</x:v>
      </x:c>
      <x:c r="I378" s="88"/>
      <x:c r="J378" s="89"/>
      <x:c r="K378" s="88"/>
      <x:c r="L378" s="90" t="n">
        <x:v>0</x:v>
      </x:c>
      <x:c r="M378" s="88"/>
      <x:c r="N378" s="91" t="n">
        <x:v>507</x:v>
      </x:c>
      <x:c r="O378" s="92" t="b">
        <x:v>0</x:v>
      </x:c>
      <x:c r="P378" s="88"/>
    </x:row>
    <x:row r="379">
      <x:c r="A379" s="56" t="str">
        <x:v>rock-throw</x:v>
      </x:c>
      <x:c r="B379" s="56" t="str">
        <x:v>いわおとし</x:v>
      </x:c>
      <x:c r="C379" s="56" t="str">
        <x:v>Rock Throw</x:v>
      </x:c>
      <x:c r="D379" s="85" t="str">
        <x:v>いわ</x:v>
      </x:c>
      <x:c r="E379" s="86" t="n">
        <x:v>50</x:v>
      </x:c>
      <x:c r="F379" s="85" t="str">
        <x:v>物理</x:v>
      </x:c>
      <x:c r="G379" s="85" t="str">
        <x:v>単体対象</x:v>
      </x:c>
      <x:c r="H379" s="87" t="b">
        <x:v>1</x:v>
      </x:c>
      <x:c r="I379" s="88"/>
      <x:c r="J379" s="89"/>
      <x:c r="K379" s="88"/>
      <x:c r="L379" s="90" t="n">
        <x:v>0</x:v>
      </x:c>
      <x:c r="M379" s="88"/>
      <x:c r="N379" s="91" t="n">
        <x:v>64</x:v>
      </x:c>
      <x:c r="O379" s="92" t="b">
        <x:v>0</x:v>
      </x:c>
      <x:c r="P379" s="88"/>
    </x:row>
    <x:row r="380">
      <x:c r="A380" s="56" t="str">
        <x:v>rock-tomb</x:v>
      </x:c>
      <x:c r="B380" s="56" t="str">
        <x:v>がんせきふうじ</x:v>
      </x:c>
      <x:c r="C380" s="56" t="str">
        <x:v>Rock Tomb</x:v>
      </x:c>
      <x:c r="D380" s="85" t="str">
        <x:v>いわ</x:v>
      </x:c>
      <x:c r="E380" s="86" t="n">
        <x:v>60</x:v>
      </x:c>
      <x:c r="F380" s="85" t="str">
        <x:v>物理</x:v>
      </x:c>
      <x:c r="G380" s="85" t="str">
        <x:v>単体対象</x:v>
      </x:c>
      <x:c r="H380" s="87" t="b">
        <x:v>1</x:v>
      </x:c>
      <x:c r="I380" s="88"/>
      <x:c r="J380" s="89"/>
      <x:c r="K380" s="88"/>
      <x:c r="L380" s="90" t="n">
        <x:v>0</x:v>
      </x:c>
      <x:c r="M380" s="88"/>
      <x:c r="N380" s="91" t="n">
        <x:v>489</x:v>
      </x:c>
      <x:c r="O380" s="92" t="b">
        <x:v>0</x:v>
      </x:c>
      <x:c r="P380" s="88"/>
    </x:row>
    <x:row r="381">
      <x:c r="A381" s="56" t="str">
        <x:v>rock-wrecker</x:v>
      </x:c>
      <x:c r="B381" s="56" t="str">
        <x:v>がんせきほう</x:v>
      </x:c>
      <x:c r="C381" s="56" t="str">
        <x:v>Rock Wrecker</x:v>
      </x:c>
      <x:c r="D381" s="85" t="str">
        <x:v>いわ</x:v>
      </x:c>
      <x:c r="E381" s="86" t="n">
        <x:v>150</x:v>
      </x:c>
      <x:c r="F381" s="85" t="str">
        <x:v>物理</x:v>
      </x:c>
      <x:c r="G381" s="85" t="str">
        <x:v>単体対象</x:v>
      </x:c>
      <x:c r="H381" s="87" t="b">
        <x:v>1</x:v>
      </x:c>
      <x:c r="I381" s="88"/>
      <x:c r="J381" s="89"/>
      <x:c r="K381" s="88"/>
      <x:c r="L381" s="90" t="n">
        <x:v>0</x:v>
      </x:c>
      <x:c r="M381" s="88"/>
      <x:c r="N381" s="91" t="n">
        <x:v>3</x:v>
      </x:c>
      <x:c r="O381" s="92" t="b">
        <x:v>0</x:v>
      </x:c>
      <x:c r="P381" s="88"/>
    </x:row>
    <x:row r="382">
      <x:c r="A382" s="56" t="str">
        <x:v>rolling-kick</x:v>
      </x:c>
      <x:c r="B382" s="56" t="str">
        <x:v>まわしげり</x:v>
      </x:c>
      <x:c r="C382" s="56" t="str">
        <x:v>Rolling Kick</x:v>
      </x:c>
      <x:c r="D382" s="85" t="str">
        <x:v>かくとう</x:v>
      </x:c>
      <x:c r="E382" s="86" t="n">
        <x:v>60</x:v>
      </x:c>
      <x:c r="F382" s="85" t="str">
        <x:v>物理</x:v>
      </x:c>
      <x:c r="G382" s="85" t="str">
        <x:v>単体対象</x:v>
      </x:c>
      <x:c r="H382" s="87" t="b">
        <x:v>1</x:v>
      </x:c>
      <x:c r="I382" s="88"/>
      <x:c r="J382" s="89"/>
      <x:c r="K382" s="88"/>
      <x:c r="L382" s="90" t="n">
        <x:v>0</x:v>
      </x:c>
      <x:c r="M382" s="88"/>
      <x:c r="N382" s="91" t="n">
        <x:v>5</x:v>
      </x:c>
      <x:c r="O382" s="92" t="b">
        <x:v>0</x:v>
      </x:c>
      <x:c r="P382" s="88"/>
    </x:row>
    <x:row r="383">
      <x:c r="A383" s="56" t="str">
        <x:v>rollout</x:v>
      </x:c>
      <x:c r="B383" s="56" t="str">
        <x:v>ころがる</x:v>
      </x:c>
      <x:c r="C383" s="56" t="str">
        <x:v>Rollout</x:v>
      </x:c>
      <x:c r="D383" s="85" t="str">
        <x:v>いわ</x:v>
      </x:c>
      <x:c r="E383" s="86" t="n">
        <x:v>30</x:v>
      </x:c>
      <x:c r="F383" s="85" t="str">
        <x:v>物理</x:v>
      </x:c>
      <x:c r="G383" s="85" t="str">
        <x:v>単体対象</x:v>
      </x:c>
      <x:c r="H383" s="87" t="b">
        <x:v>1</x:v>
      </x:c>
      <x:c r="I383" s="88"/>
      <x:c r="J383" s="89"/>
      <x:c r="K383" s="88"/>
      <x:c r="L383" s="90" t="n">
        <x:v>0</x:v>
      </x:c>
      <x:c r="M383" s="88"/>
      <x:c r="N383" s="91" t="n">
        <x:v>209</x:v>
      </x:c>
      <x:c r="O383" s="92" t="b">
        <x:v>0</x:v>
      </x:c>
      <x:c r="P383" s="88"/>
    </x:row>
    <x:row r="384">
      <x:c r="A384" s="56" t="str">
        <x:v>round</x:v>
      </x:c>
      <x:c r="B384" s="56" t="str">
        <x:v>りんしょう</x:v>
      </x:c>
      <x:c r="C384" s="56" t="str">
        <x:v>Round</x:v>
      </x:c>
      <x:c r="D384" s="85" t="str">
        <x:v>ノーマル</x:v>
      </x:c>
      <x:c r="E384" s="86" t="n">
        <x:v>60</x:v>
      </x:c>
      <x:c r="F384" s="85" t="str">
        <x:v>特殊</x:v>
      </x:c>
      <x:c r="G384" s="85" t="str">
        <x:v>単体対象</x:v>
      </x:c>
      <x:c r="H384" s="87" t="b">
        <x:v>1</x:v>
      </x:c>
      <x:c r="I384" s="88"/>
      <x:c r="J384" s="89"/>
      <x:c r="K384" s="88"/>
      <x:c r="L384" s="90" t="n">
        <x:v>0</x:v>
      </x:c>
      <x:c r="M384" s="88"/>
      <x:c r="N384" s="91" t="n">
        <x:v>1097</x:v>
      </x:c>
      <x:c r="O384" s="92" t="b">
        <x:v>0</x:v>
      </x:c>
      <x:c r="P384" s="88"/>
    </x:row>
    <x:row r="385">
      <x:c r="A385" s="56" t="str">
        <x:v>ruination</x:v>
      </x:c>
      <x:c r="B385" s="56" t="str">
        <x:v>カタストロフィ</x:v>
      </x:c>
      <x:c r="C385" s="56" t="str">
        <x:v>Ruination</x:v>
      </x:c>
      <x:c r="D385" s="85" t="str">
        <x:v>あく</x:v>
      </x:c>
      <x:c r="E385" s="86" t="n">
        <x:v>1</x:v>
      </x:c>
      <x:c r="F385" s="85" t="str">
        <x:v>特殊</x:v>
      </x:c>
      <x:c r="G385" s="85" t="str">
        <x:v>単体対象</x:v>
      </x:c>
      <x:c r="H385" s="87" t="b">
        <x:v>1</x:v>
      </x:c>
      <x:c r="I385" s="88"/>
      <x:c r="J385" s="89"/>
      <x:c r="K385" s="88"/>
      <x:c r="L385" s="90" t="n">
        <x:v>0</x:v>
      </x:c>
      <x:c r="M385" s="88"/>
      <x:c r="N385" s="91" t="n">
        <x:v>4</x:v>
      </x:c>
      <x:c r="O385" s="92" t="b">
        <x:v>0</x:v>
      </x:c>
      <x:c r="P385" s="88"/>
    </x:row>
    <x:row r="386">
      <x:c r="A386" s="56" t="str">
        <x:v>sacred-fire</x:v>
      </x:c>
      <x:c r="B386" s="56" t="str">
        <x:v>せいなるほのお</x:v>
      </x:c>
      <x:c r="C386" s="56" t="str">
        <x:v>Sacred Fire</x:v>
      </x:c>
      <x:c r="D386" s="85" t="str">
        <x:v>ほのお</x:v>
      </x:c>
      <x:c r="E386" s="86" t="n">
        <x:v>100</x:v>
      </x:c>
      <x:c r="F386" s="85" t="str">
        <x:v>物理</x:v>
      </x:c>
      <x:c r="G386" s="85" t="str">
        <x:v>単体対象</x:v>
      </x:c>
      <x:c r="H386" s="87" t="b">
        <x:v>1</x:v>
      </x:c>
      <x:c r="I386" s="88"/>
      <x:c r="J386" s="89"/>
      <x:c r="K386" s="88"/>
      <x:c r="L386" s="90" t="n">
        <x:v>0</x:v>
      </x:c>
      <x:c r="M386" s="88"/>
      <x:c r="N386" s="91" t="n">
        <x:v>2</x:v>
      </x:c>
      <x:c r="O386" s="92" t="b">
        <x:v>0</x:v>
      </x:c>
      <x:c r="P386" s="88"/>
    </x:row>
    <x:row r="387">
      <x:c r="A387" s="56" t="str">
        <x:v>sacred-sword</x:v>
      </x:c>
      <x:c r="B387" s="56" t="str">
        <x:v>せいなるつるぎ</x:v>
      </x:c>
      <x:c r="C387" s="56" t="str">
        <x:v>Sacred Sword</x:v>
      </x:c>
      <x:c r="D387" s="85" t="str">
        <x:v>かくとう</x:v>
      </x:c>
      <x:c r="E387" s="86" t="n">
        <x:v>90</x:v>
      </x:c>
      <x:c r="F387" s="85" t="str">
        <x:v>物理</x:v>
      </x:c>
      <x:c r="G387" s="85" t="str">
        <x:v>単体対象</x:v>
      </x:c>
      <x:c r="H387" s="87" t="b">
        <x:v>1</x:v>
      </x:c>
      <x:c r="I387" s="88"/>
      <x:c r="J387" s="89"/>
      <x:c r="K387" s="88"/>
      <x:c r="L387" s="90" t="n">
        <x:v>0</x:v>
      </x:c>
      <x:c r="M387" s="88"/>
      <x:c r="N387" s="91" t="n">
        <x:v>22</x:v>
      </x:c>
      <x:c r="O387" s="92" t="b">
        <x:v>0</x:v>
      </x:c>
      <x:c r="P387" s="88"/>
    </x:row>
    <x:row r="388">
      <x:c r="A388" s="56" t="str">
        <x:v>salt-cure</x:v>
      </x:c>
      <x:c r="B388" s="56" t="str">
        <x:v>しおづけ</x:v>
      </x:c>
      <x:c r="C388" s="56" t="str">
        <x:v>Salt Cure</x:v>
      </x:c>
      <x:c r="D388" s="85" t="str">
        <x:v>いわ</x:v>
      </x:c>
      <x:c r="E388" s="86" t="n">
        <x:v>40</x:v>
      </x:c>
      <x:c r="F388" s="85" t="str">
        <x:v>物理</x:v>
      </x:c>
      <x:c r="G388" s="85" t="str">
        <x:v>単体対象</x:v>
      </x:c>
      <x:c r="H388" s="87" t="b">
        <x:v>1</x:v>
      </x:c>
      <x:c r="I388" s="88"/>
      <x:c r="J388" s="89"/>
      <x:c r="K388" s="88"/>
      <x:c r="L388" s="90" t="n">
        <x:v>0</x:v>
      </x:c>
      <x:c r="M388" s="88"/>
      <x:c r="N388" s="91" t="n">
        <x:v>2</x:v>
      </x:c>
      <x:c r="O388" s="92" t="b">
        <x:v>0</x:v>
      </x:c>
      <x:c r="P388" s="88"/>
    </x:row>
    <x:row r="389">
      <x:c r="A389" s="56" t="str">
        <x:v>sand-tomb</x:v>
      </x:c>
      <x:c r="B389" s="56" t="str">
        <x:v>すなじごく</x:v>
      </x:c>
      <x:c r="C389" s="56" t="str">
        <x:v>Sand Tomb</x:v>
      </x:c>
      <x:c r="D389" s="85" t="str">
        <x:v>じめん</x:v>
      </x:c>
      <x:c r="E389" s="86" t="n">
        <x:v>35</x:v>
      </x:c>
      <x:c r="F389" s="85" t="str">
        <x:v>物理</x:v>
      </x:c>
      <x:c r="G389" s="85" t="str">
        <x:v>単体対象</x:v>
      </x:c>
      <x:c r="H389" s="87" t="b">
        <x:v>1</x:v>
      </x:c>
      <x:c r="I389" s="88"/>
      <x:c r="J389" s="89"/>
      <x:c r="K389" s="88"/>
      <x:c r="L389" s="90" t="n">
        <x:v>0</x:v>
      </x:c>
      <x:c r="M389" s="88"/>
      <x:c r="N389" s="91" t="n">
        <x:v>98</x:v>
      </x:c>
      <x:c r="O389" s="92" t="b">
        <x:v>0</x:v>
      </x:c>
      <x:c r="P389" s="88"/>
    </x:row>
    <x:row r="390">
      <x:c r="A390" s="56" t="str">
        <x:v>sandsear-storm</x:v>
      </x:c>
      <x:c r="B390" s="56" t="str">
        <x:v>ねっさのあらし</x:v>
      </x:c>
      <x:c r="C390" s="56" t="str">
        <x:v>Sandsear Storm</x:v>
      </x:c>
      <x:c r="D390" s="85" t="str">
        <x:v>じめん</x:v>
      </x:c>
      <x:c r="E390" s="86" t="n">
        <x:v>100</x:v>
      </x:c>
      <x:c r="F390" s="85" t="str">
        <x:v>特殊</x:v>
      </x:c>
      <x:c r="G390" s="85" t="str">
        <x:v>複数対象</x:v>
      </x:c>
      <x:c r="H390" s="87" t="b">
        <x:v>1</x:v>
      </x:c>
      <x:c r="I390" s="88"/>
      <x:c r="J390" s="89"/>
      <x:c r="K390" s="88"/>
      <x:c r="L390" s="90" t="n">
        <x:v>0</x:v>
      </x:c>
      <x:c r="M390" s="88"/>
      <x:c r="N390" s="91" t="n">
        <x:v>2</x:v>
      </x:c>
      <x:c r="O390" s="92" t="b">
        <x:v>1</x:v>
      </x:c>
      <x:c r="P390" s="88"/>
    </x:row>
    <x:row r="391">
      <x:c r="A391" s="56" t="str">
        <x:v>sappy-seed</x:v>
      </x:c>
      <x:c r="B391" s="56" t="str">
        <x:v>すくすくボンバー</x:v>
      </x:c>
      <x:c r="C391" s="56" t="str">
        <x:v>Sappy Seed</x:v>
      </x:c>
      <x:c r="D391" s="85" t="str">
        <x:v>くさ</x:v>
      </x:c>
      <x:c r="E391" s="86" t="n">
        <x:v>100</x:v>
      </x:c>
      <x:c r="F391" s="85" t="str">
        <x:v>物理</x:v>
      </x:c>
      <x:c r="G391" s="85" t="str">
        <x:v>単体対象</x:v>
      </x:c>
      <x:c r="H391" s="87" t="b">
        <x:v>1</x:v>
      </x:c>
      <x:c r="I391" s="88"/>
      <x:c r="J391" s="89"/>
      <x:c r="K391" s="88"/>
      <x:c r="L391" s="90" t="n">
        <x:v>0</x:v>
      </x:c>
      <x:c r="M391" s="88"/>
      <x:c r="N391" s="91" t="n">
        <x:v>1</x:v>
      </x:c>
      <x:c r="O391" s="92" t="b">
        <x:v>0</x:v>
      </x:c>
      <x:c r="P391" s="88"/>
    </x:row>
    <x:row r="392">
      <x:c r="A392" s="56" t="str">
        <x:v>scald</x:v>
      </x:c>
      <x:c r="B392" s="56" t="str">
        <x:v>ねっとう</x:v>
      </x:c>
      <x:c r="C392" s="56" t="str">
        <x:v>Scald</x:v>
      </x:c>
      <x:c r="D392" s="85" t="str">
        <x:v>みず</x:v>
      </x:c>
      <x:c r="E392" s="86" t="n">
        <x:v>80</x:v>
      </x:c>
      <x:c r="F392" s="85" t="str">
        <x:v>特殊</x:v>
      </x:c>
      <x:c r="G392" s="85" t="str">
        <x:v>単体対象</x:v>
      </x:c>
      <x:c r="H392" s="87" t="b">
        <x:v>1</x:v>
      </x:c>
      <x:c r="I392" s="88"/>
      <x:c r="J392" s="89"/>
      <x:c r="K392" s="88"/>
      <x:c r="L392" s="90" t="n">
        <x:v>0</x:v>
      </x:c>
      <x:c r="M392" s="88"/>
      <x:c r="N392" s="91" t="n">
        <x:v>173</x:v>
      </x:c>
      <x:c r="O392" s="92" t="b">
        <x:v>0</x:v>
      </x:c>
      <x:c r="P392" s="88"/>
    </x:row>
    <x:row r="393">
      <x:c r="A393" s="56" t="str">
        <x:v>scale-shot</x:v>
      </x:c>
      <x:c r="B393" s="56" t="str">
        <x:v>スケイルショット</x:v>
      </x:c>
      <x:c r="C393" s="56" t="str">
        <x:v>Scale Shot</x:v>
      </x:c>
      <x:c r="D393" s="85" t="str">
        <x:v>ドラゴン</x:v>
      </x:c>
      <x:c r="E393" s="86" t="n">
        <x:v>25</x:v>
      </x:c>
      <x:c r="F393" s="85" t="str">
        <x:v>物理</x:v>
      </x:c>
      <x:c r="G393" s="85" t="str">
        <x:v>単体対象</x:v>
      </x:c>
      <x:c r="H393" s="87" t="b">
        <x:v>1</x:v>
      </x:c>
      <x:c r="I393" s="88"/>
      <x:c r="J393" s="89"/>
      <x:c r="K393" s="88"/>
      <x:c r="L393" s="90" t="n">
        <x:v>0</x:v>
      </x:c>
      <x:c r="M393" s="88"/>
      <x:c r="N393" s="91" t="n">
        <x:v>105</x:v>
      </x:c>
      <x:c r="O393" s="92" t="b">
        <x:v>0</x:v>
      </x:c>
      <x:c r="P393" s="88"/>
    </x:row>
    <x:row r="394">
      <x:c r="A394" s="56" t="str">
        <x:v>scorching-sands</x:v>
      </x:c>
      <x:c r="B394" s="56" t="str">
        <x:v>ねっさのだいち</x:v>
      </x:c>
      <x:c r="C394" s="56" t="str">
        <x:v>Scorching Sands</x:v>
      </x:c>
      <x:c r="D394" s="85" t="str">
        <x:v>じめん</x:v>
      </x:c>
      <x:c r="E394" s="86" t="n">
        <x:v>70</x:v>
      </x:c>
      <x:c r="F394" s="85" t="str">
        <x:v>特殊</x:v>
      </x:c>
      <x:c r="G394" s="85" t="str">
        <x:v>単体対象</x:v>
      </x:c>
      <x:c r="H394" s="87" t="b">
        <x:v>1</x:v>
      </x:c>
      <x:c r="I394" s="88"/>
      <x:c r="J394" s="89"/>
      <x:c r="K394" s="88"/>
      <x:c r="L394" s="90" t="n">
        <x:v>0</x:v>
      </x:c>
      <x:c r="M394" s="88"/>
      <x:c r="N394" s="91" t="n">
        <x:v>118</x:v>
      </x:c>
      <x:c r="O394" s="92" t="b">
        <x:v>0</x:v>
      </x:c>
      <x:c r="P394" s="88"/>
    </x:row>
    <x:row r="395">
      <x:c r="A395" s="56" t="str">
        <x:v>scratch</x:v>
      </x:c>
      <x:c r="B395" s="56" t="str">
        <x:v>ひっかく</x:v>
      </x:c>
      <x:c r="C395" s="56" t="str">
        <x:v>Scratch</x:v>
      </x:c>
      <x:c r="D395" s="85" t="str">
        <x:v>ノーマル</x:v>
      </x:c>
      <x:c r="E395" s="86" t="n">
        <x:v>40</x:v>
      </x:c>
      <x:c r="F395" s="85" t="str">
        <x:v>物理</x:v>
      </x:c>
      <x:c r="G395" s="85" t="str">
        <x:v>単体対象</x:v>
      </x:c>
      <x:c r="H395" s="87" t="b">
        <x:v>1</x:v>
      </x:c>
      <x:c r="I395" s="88"/>
      <x:c r="J395" s="89"/>
      <x:c r="K395" s="88"/>
      <x:c r="L395" s="90" t="n">
        <x:v>0</x:v>
      </x:c>
      <x:c r="M395" s="88"/>
      <x:c r="N395" s="91" t="n">
        <x:v>121</x:v>
      </x:c>
      <x:c r="O395" s="92" t="b">
        <x:v>0</x:v>
      </x:c>
      <x:c r="P395" s="88"/>
    </x:row>
    <x:row r="396">
      <x:c r="A396" s="56" t="str">
        <x:v>searing-shot</x:v>
      </x:c>
      <x:c r="B396" s="56" t="str">
        <x:v>かえんだん</x:v>
      </x:c>
      <x:c r="C396" s="56" t="str">
        <x:v>Searing Shot</x:v>
      </x:c>
      <x:c r="D396" s="85" t="str">
        <x:v>ほのお</x:v>
      </x:c>
      <x:c r="E396" s="86" t="n">
        <x:v>100</x:v>
      </x:c>
      <x:c r="F396" s="85" t="str">
        <x:v>特殊</x:v>
      </x:c>
      <x:c r="G396" s="85" t="str">
        <x:v>複数対象</x:v>
      </x:c>
      <x:c r="H396" s="87" t="b">
        <x:v>1</x:v>
      </x:c>
      <x:c r="I396" s="88"/>
      <x:c r="J396" s="89"/>
      <x:c r="K396" s="88"/>
      <x:c r="L396" s="90" t="n">
        <x:v>0</x:v>
      </x:c>
      <x:c r="M396" s="88"/>
      <x:c r="N396" s="91" t="n">
        <x:v>1</x:v>
      </x:c>
      <x:c r="O396" s="92" t="b">
        <x:v>1</x:v>
      </x:c>
      <x:c r="P396" s="88"/>
    </x:row>
    <x:row r="397">
      <x:c r="A397" s="56" t="str">
        <x:v>secret-power</x:v>
      </x:c>
      <x:c r="B397" s="56" t="str">
        <x:v>ひみつのちから</x:v>
      </x:c>
      <x:c r="C397" s="56" t="str">
        <x:v>Secret Power</x:v>
      </x:c>
      <x:c r="D397" s="85" t="str">
        <x:v>ノーマル</x:v>
      </x:c>
      <x:c r="E397" s="86" t="n">
        <x:v>70</x:v>
      </x:c>
      <x:c r="F397" s="85" t="str">
        <x:v>物理</x:v>
      </x:c>
      <x:c r="G397" s="85" t="str">
        <x:v>単体対象</x:v>
      </x:c>
      <x:c r="H397" s="87" t="b">
        <x:v>1</x:v>
      </x:c>
      <x:c r="I397" s="88"/>
      <x:c r="J397" s="89"/>
      <x:c r="K397" s="88"/>
      <x:c r="L397" s="90" t="n">
        <x:v>0</x:v>
      </x:c>
      <x:c r="M397" s="88"/>
      <x:c r="N397" s="91" t="n">
        <x:v>792</x:v>
      </x:c>
      <x:c r="O397" s="92" t="b">
        <x:v>0</x:v>
      </x:c>
      <x:c r="P397" s="88"/>
    </x:row>
    <x:row r="398">
      <x:c r="A398" s="56" t="str">
        <x:v>secret-sword</x:v>
      </x:c>
      <x:c r="B398" s="56" t="str">
        <x:v>しんぴのつるぎ</x:v>
      </x:c>
      <x:c r="C398" s="56" t="str">
        <x:v>Secret Sword</x:v>
      </x:c>
      <x:c r="D398" s="85" t="str">
        <x:v>かくとう</x:v>
      </x:c>
      <x:c r="E398" s="86" t="n">
        <x:v>85</x:v>
      </x:c>
      <x:c r="F398" s="85" t="str">
        <x:v>特殊</x:v>
      </x:c>
      <x:c r="G398" s="85" t="str">
        <x:v>単体対象</x:v>
      </x:c>
      <x:c r="H398" s="87" t="b">
        <x:v>1</x:v>
      </x:c>
      <x:c r="I398" s="88"/>
      <x:c r="J398" s="89"/>
      <x:c r="K398" s="88"/>
      <x:c r="L398" s="90" t="n">
        <x:v>0</x:v>
      </x:c>
      <x:c r="M398" s="88"/>
      <x:c r="N398" s="91" t="n">
        <x:v>2</x:v>
      </x:c>
      <x:c r="O398" s="92" t="b">
        <x:v>0</x:v>
      </x:c>
      <x:c r="P398" s="88"/>
    </x:row>
    <x:row r="399">
      <x:c r="A399" s="56" t="str">
        <x:v>seed-bomb</x:v>
      </x:c>
      <x:c r="B399" s="56" t="str">
        <x:v>タネばくだん</x:v>
      </x:c>
      <x:c r="C399" s="56" t="str">
        <x:v>Seed Bomb</x:v>
      </x:c>
      <x:c r="D399" s="85" t="str">
        <x:v>くさ</x:v>
      </x:c>
      <x:c r="E399" s="86" t="n">
        <x:v>80</x:v>
      </x:c>
      <x:c r="F399" s="85" t="str">
        <x:v>物理</x:v>
      </x:c>
      <x:c r="G399" s="85" t="str">
        <x:v>単体対象</x:v>
      </x:c>
      <x:c r="H399" s="87" t="b">
        <x:v>1</x:v>
      </x:c>
      <x:c r="I399" s="88"/>
      <x:c r="J399" s="89"/>
      <x:c r="K399" s="88"/>
      <x:c r="L399" s="90" t="n">
        <x:v>0</x:v>
      </x:c>
      <x:c r="M399" s="88"/>
      <x:c r="N399" s="91" t="n">
        <x:v>228</x:v>
      </x:c>
      <x:c r="O399" s="92" t="b">
        <x:v>0</x:v>
      </x:c>
      <x:c r="P399" s="88"/>
    </x:row>
    <x:row r="400">
      <x:c r="A400" s="56" t="str">
        <x:v>seed-flare</x:v>
      </x:c>
      <x:c r="B400" s="56" t="str">
        <x:v>シードフレア</x:v>
      </x:c>
      <x:c r="C400" s="56" t="str">
        <x:v>Seed Flare</x:v>
      </x:c>
      <x:c r="D400" s="85" t="str">
        <x:v>くさ</x:v>
      </x:c>
      <x:c r="E400" s="86" t="n">
        <x:v>120</x:v>
      </x:c>
      <x:c r="F400" s="85" t="str">
        <x:v>特殊</x:v>
      </x:c>
      <x:c r="G400" s="85" t="str">
        <x:v>単体対象</x:v>
      </x:c>
      <x:c r="H400" s="87" t="b">
        <x:v>1</x:v>
      </x:c>
      <x:c r="I400" s="88"/>
      <x:c r="J400" s="89"/>
      <x:c r="K400" s="88"/>
      <x:c r="L400" s="90" t="n">
        <x:v>0</x:v>
      </x:c>
      <x:c r="M400" s="88"/>
      <x:c r="N400" s="91" t="n">
        <x:v>2</x:v>
      </x:c>
      <x:c r="O400" s="92" t="b">
        <x:v>0</x:v>
      </x:c>
      <x:c r="P400" s="88"/>
    </x:row>
    <x:row r="401">
      <x:c r="A401" s="56" t="str">
        <x:v>self-destruct</x:v>
      </x:c>
      <x:c r="B401" s="56" t="str">
        <x:v>じばく</x:v>
      </x:c>
      <x:c r="C401" s="56" t="str">
        <x:v>Self-Destruct</x:v>
      </x:c>
      <x:c r="D401" s="85" t="str">
        <x:v>ノーマル</x:v>
      </x:c>
      <x:c r="E401" s="86" t="n">
        <x:v>200</x:v>
      </x:c>
      <x:c r="F401" s="85" t="str">
        <x:v>物理</x:v>
      </x:c>
      <x:c r="G401" s="85" t="str">
        <x:v>複数対象</x:v>
      </x:c>
      <x:c r="H401" s="87" t="b">
        <x:v>1</x:v>
      </x:c>
      <x:c r="I401" s="88"/>
      <x:c r="J401" s="89"/>
      <x:c r="K401" s="88"/>
      <x:c r="L401" s="90" t="n">
        <x:v>0</x:v>
      </x:c>
      <x:c r="M401" s="88"/>
      <x:c r="N401" s="91" t="n">
        <x:v>135</x:v>
      </x:c>
      <x:c r="O401" s="92" t="b">
        <x:v>1</x:v>
      </x:c>
      <x:c r="P401" s="88"/>
    </x:row>
    <x:row r="402">
      <x:c r="A402" s="56" t="str">
        <x:v>shadow-ball</x:v>
      </x:c>
      <x:c r="B402" s="56" t="str">
        <x:v>シャドーボール</x:v>
      </x:c>
      <x:c r="C402" s="56" t="str">
        <x:v>Shadow Ball</x:v>
      </x:c>
      <x:c r="D402" s="85" t="str">
        <x:v>ゴースト</x:v>
      </x:c>
      <x:c r="E402" s="86" t="n">
        <x:v>80</x:v>
      </x:c>
      <x:c r="F402" s="85" t="str">
        <x:v>特殊</x:v>
      </x:c>
      <x:c r="G402" s="85" t="str">
        <x:v>単体対象</x:v>
      </x:c>
      <x:c r="H402" s="87" t="b">
        <x:v>1</x:v>
      </x:c>
      <x:c r="I402" s="88"/>
      <x:c r="J402" s="89"/>
      <x:c r="K402" s="88"/>
      <x:c r="L402" s="90" t="n">
        <x:v>0</x:v>
      </x:c>
      <x:c r="M402" s="88"/>
      <x:c r="N402" s="91" t="n">
        <x:v>405</x:v>
      </x:c>
      <x:c r="O402" s="92" t="b">
        <x:v>0</x:v>
      </x:c>
      <x:c r="P402" s="88"/>
    </x:row>
    <x:row r="403">
      <x:c r="A403" s="56" t="str">
        <x:v>shadow-bone</x:v>
      </x:c>
      <x:c r="B403" s="56" t="str">
        <x:v>シャドーボーン</x:v>
      </x:c>
      <x:c r="C403" s="56" t="str">
        <x:v>Shadow Bone</x:v>
      </x:c>
      <x:c r="D403" s="85" t="str">
        <x:v>ゴースト</x:v>
      </x:c>
      <x:c r="E403" s="86" t="n">
        <x:v>85</x:v>
      </x:c>
      <x:c r="F403" s="85" t="str">
        <x:v>物理</x:v>
      </x:c>
      <x:c r="G403" s="85" t="str">
        <x:v>単体対象</x:v>
      </x:c>
      <x:c r="H403" s="87" t="b">
        <x:v>1</x:v>
      </x:c>
      <x:c r="I403" s="88"/>
      <x:c r="J403" s="89"/>
      <x:c r="K403" s="88"/>
      <x:c r="L403" s="90" t="n">
        <x:v>0</x:v>
      </x:c>
      <x:c r="M403" s="88"/>
      <x:c r="N403" s="91" t="n">
        <x:v>2</x:v>
      </x:c>
      <x:c r="O403" s="92" t="b">
        <x:v>0</x:v>
      </x:c>
      <x:c r="P403" s="88"/>
    </x:row>
    <x:row r="404">
      <x:c r="A404" s="56" t="str">
        <x:v>shadow-claw</x:v>
      </x:c>
      <x:c r="B404" s="56" t="str">
        <x:v>シャドークロー</x:v>
      </x:c>
      <x:c r="C404" s="56" t="str">
        <x:v>Shadow Claw</x:v>
      </x:c>
      <x:c r="D404" s="85" t="str">
        <x:v>ゴースト</x:v>
      </x:c>
      <x:c r="E404" s="86" t="n">
        <x:v>70</x:v>
      </x:c>
      <x:c r="F404" s="85" t="str">
        <x:v>物理</x:v>
      </x:c>
      <x:c r="G404" s="85" t="str">
        <x:v>単体対象</x:v>
      </x:c>
      <x:c r="H404" s="87" t="b">
        <x:v>1</x:v>
      </x:c>
      <x:c r="I404" s="88"/>
      <x:c r="J404" s="89"/>
      <x:c r="K404" s="88"/>
      <x:c r="L404" s="90" t="n">
        <x:v>0</x:v>
      </x:c>
      <x:c r="M404" s="88"/>
      <x:c r="N404" s="91" t="n">
        <x:v>256</x:v>
      </x:c>
      <x:c r="O404" s="92" t="b">
        <x:v>0</x:v>
      </x:c>
      <x:c r="P404" s="88"/>
    </x:row>
    <x:row r="405">
      <x:c r="A405" s="56" t="str">
        <x:v>shadow-force</x:v>
      </x:c>
      <x:c r="B405" s="56" t="str">
        <x:v>シャドーダイブ</x:v>
      </x:c>
      <x:c r="C405" s="56" t="str">
        <x:v>Shadow Force</x:v>
      </x:c>
      <x:c r="D405" s="85" t="str">
        <x:v>ゴースト</x:v>
      </x:c>
      <x:c r="E405" s="86" t="n">
        <x:v>120</x:v>
      </x:c>
      <x:c r="F405" s="85" t="str">
        <x:v>物理</x:v>
      </x:c>
      <x:c r="G405" s="85" t="str">
        <x:v>単体対象</x:v>
      </x:c>
      <x:c r="H405" s="87" t="b">
        <x:v>1</x:v>
      </x:c>
      <x:c r="I405" s="88"/>
      <x:c r="J405" s="89"/>
      <x:c r="K405" s="88"/>
      <x:c r="L405" s="90" t="n">
        <x:v>0</x:v>
      </x:c>
      <x:c r="M405" s="88"/>
      <x:c r="N405" s="91" t="n">
        <x:v>2</x:v>
      </x:c>
      <x:c r="O405" s="92" t="b">
        <x:v>0</x:v>
      </x:c>
      <x:c r="P405" s="88"/>
    </x:row>
    <x:row r="406">
      <x:c r="A406" s="56" t="str">
        <x:v>shadow-punch</x:v>
      </x:c>
      <x:c r="B406" s="56" t="str">
        <x:v>シャドーパンチ</x:v>
      </x:c>
      <x:c r="C406" s="56" t="str">
        <x:v>Shadow Punch</x:v>
      </x:c>
      <x:c r="D406" s="85" t="str">
        <x:v>ゴースト</x:v>
      </x:c>
      <x:c r="E406" s="86" t="n">
        <x:v>60</x:v>
      </x:c>
      <x:c r="F406" s="85" t="str">
        <x:v>物理</x:v>
      </x:c>
      <x:c r="G406" s="85" t="str">
        <x:v>単体対象</x:v>
      </x:c>
      <x:c r="H406" s="87" t="b">
        <x:v>1</x:v>
      </x:c>
      <x:c r="I406" s="88"/>
      <x:c r="J406" s="89"/>
      <x:c r="K406" s="88"/>
      <x:c r="L406" s="90" t="n">
        <x:v>0</x:v>
      </x:c>
      <x:c r="M406" s="88"/>
      <x:c r="N406" s="91" t="n">
        <x:v>18</x:v>
      </x:c>
      <x:c r="O406" s="92" t="b">
        <x:v>0</x:v>
      </x:c>
      <x:c r="P406" s="88"/>
    </x:row>
    <x:row r="407">
      <x:c r="A407" s="56" t="str">
        <x:v>shadow-sneak</x:v>
      </x:c>
      <x:c r="B407" s="56" t="str">
        <x:v>かげうち</x:v>
      </x:c>
      <x:c r="C407" s="56" t="str">
        <x:v>Shadow Sneak</x:v>
      </x:c>
      <x:c r="D407" s="85" t="str">
        <x:v>ゴースト</x:v>
      </x:c>
      <x:c r="E407" s="86" t="n">
        <x:v>40</x:v>
      </x:c>
      <x:c r="F407" s="85" t="str">
        <x:v>物理</x:v>
      </x:c>
      <x:c r="G407" s="85" t="str">
        <x:v>単体対象</x:v>
      </x:c>
      <x:c r="H407" s="87" t="b">
        <x:v>1</x:v>
      </x:c>
      <x:c r="I407" s="88"/>
      <x:c r="J407" s="89"/>
      <x:c r="K407" s="88"/>
      <x:c r="L407" s="90" t="n">
        <x:v>1</x:v>
      </x:c>
      <x:c r="M407" s="88"/>
      <x:c r="N407" s="91" t="n">
        <x:v>59</x:v>
      </x:c>
      <x:c r="O407" s="92" t="b">
        <x:v>0</x:v>
      </x:c>
      <x:c r="P407" s="88"/>
    </x:row>
    <x:row r="408">
      <x:c r="A408" s="56" t="str">
        <x:v>shell-side-arm</x:v>
      </x:c>
      <x:c r="B408" s="56" t="str">
        <x:v>シェルアームズ</x:v>
      </x:c>
      <x:c r="C408" s="56" t="str">
        <x:v>Shell Side Arm</x:v>
      </x:c>
      <x:c r="D408" s="85" t="str">
        <x:v>どく</x:v>
      </x:c>
      <x:c r="E408" s="86" t="n">
        <x:v>90</x:v>
      </x:c>
      <x:c r="F408" s="85" t="str">
        <x:v>特殊</x:v>
      </x:c>
      <x:c r="G408" s="85" t="str">
        <x:v>単体対象</x:v>
      </x:c>
      <x:c r="H408" s="87" t="b">
        <x:v>1</x:v>
      </x:c>
      <x:c r="I408" s="88"/>
      <x:c r="J408" s="89"/>
      <x:c r="K408" s="88"/>
      <x:c r="L408" s="90" t="n">
        <x:v>0</x:v>
      </x:c>
      <x:c r="M408" s="88"/>
      <x:c r="N408" s="91" t="n">
        <x:v>1</x:v>
      </x:c>
      <x:c r="O408" s="92" t="b">
        <x:v>0</x:v>
      </x:c>
      <x:c r="P408" s="88"/>
    </x:row>
    <x:row r="409">
      <x:c r="A409" s="56" t="str">
        <x:v>shell-trap</x:v>
      </x:c>
      <x:c r="B409" s="56" t="str">
        <x:v>トラップシェル</x:v>
      </x:c>
      <x:c r="C409" s="56" t="str">
        <x:v>Shell Trap</x:v>
      </x:c>
      <x:c r="D409" s="85" t="str">
        <x:v>ほのお</x:v>
      </x:c>
      <x:c r="E409" s="86" t="n">
        <x:v>150</x:v>
      </x:c>
      <x:c r="F409" s="85" t="str">
        <x:v>特殊</x:v>
      </x:c>
      <x:c r="G409" s="85" t="str">
        <x:v>複数対象</x:v>
      </x:c>
      <x:c r="H409" s="87" t="b">
        <x:v>1</x:v>
      </x:c>
      <x:c r="I409" s="88"/>
      <x:c r="J409" s="89"/>
      <x:c r="K409" s="88"/>
      <x:c r="L409" s="90" t="n">
        <x:v>0</x:v>
      </x:c>
      <x:c r="M409" s="88"/>
      <x:c r="N409" s="91" t="n">
        <x:v>1</x:v>
      </x:c>
      <x:c r="O409" s="92" t="b">
        <x:v>1</x:v>
      </x:c>
      <x:c r="P409" s="88"/>
    </x:row>
    <x:row r="410">
      <x:c r="A410" s="56" t="str">
        <x:v>shock-wave</x:v>
      </x:c>
      <x:c r="B410" s="56" t="str">
        <x:v>でんげきは</x:v>
      </x:c>
      <x:c r="C410" s="56" t="str">
        <x:v>Shock Wave</x:v>
      </x:c>
      <x:c r="D410" s="85" t="str">
        <x:v>でんき</x:v>
      </x:c>
      <x:c r="E410" s="86" t="n">
        <x:v>60</x:v>
      </x:c>
      <x:c r="F410" s="85" t="str">
        <x:v>特殊</x:v>
      </x:c>
      <x:c r="G410" s="85" t="str">
        <x:v>単体対象</x:v>
      </x:c>
      <x:c r="H410" s="87" t="b">
        <x:v>1</x:v>
      </x:c>
      <x:c r="I410" s="88"/>
      <x:c r="J410" s="89"/>
      <x:c r="K410" s="88"/>
      <x:c r="L410" s="90" t="n">
        <x:v>0</x:v>
      </x:c>
      <x:c r="M410" s="88"/>
      <x:c r="N410" s="91" t="n">
        <x:v>336</x:v>
      </x:c>
      <x:c r="O410" s="92" t="b">
        <x:v>0</x:v>
      </x:c>
      <x:c r="P410" s="88"/>
    </x:row>
    <x:row r="411">
      <x:c r="A411" s="56" t="str">
        <x:v>signal-beam</x:v>
      </x:c>
      <x:c r="B411" s="56" t="str">
        <x:v>シグナルビーム</x:v>
      </x:c>
      <x:c r="C411" s="56" t="str">
        <x:v>Signal Beam</x:v>
      </x:c>
      <x:c r="D411" s="85" t="str">
        <x:v>むし</x:v>
      </x:c>
      <x:c r="E411" s="86" t="n">
        <x:v>75</x:v>
      </x:c>
      <x:c r="F411" s="85" t="str">
        <x:v>特殊</x:v>
      </x:c>
      <x:c r="G411" s="85" t="str">
        <x:v>単体対象</x:v>
      </x:c>
      <x:c r="H411" s="87" t="b">
        <x:v>1</x:v>
      </x:c>
      <x:c r="I411" s="88"/>
      <x:c r="J411" s="89"/>
      <x:c r="K411" s="88"/>
      <x:c r="L411" s="90" t="n">
        <x:v>0</x:v>
      </x:c>
      <x:c r="M411" s="88"/>
      <x:c r="N411" s="91" t="n">
        <x:v>272</x:v>
      </x:c>
      <x:c r="O411" s="92" t="b">
        <x:v>0</x:v>
      </x:c>
      <x:c r="P411" s="88"/>
    </x:row>
    <x:row r="412">
      <x:c r="A412" s="56" t="str">
        <x:v>silver-wind</x:v>
      </x:c>
      <x:c r="B412" s="56" t="str">
        <x:v>ぎんいろのかぜ</x:v>
      </x:c>
      <x:c r="C412" s="56" t="str">
        <x:v>Silver Wind</x:v>
      </x:c>
      <x:c r="D412" s="85" t="str">
        <x:v>むし</x:v>
      </x:c>
      <x:c r="E412" s="86" t="n">
        <x:v>60</x:v>
      </x:c>
      <x:c r="F412" s="85" t="str">
        <x:v>特殊</x:v>
      </x:c>
      <x:c r="G412" s="85" t="str">
        <x:v>単体対象</x:v>
      </x:c>
      <x:c r="H412" s="87" t="b">
        <x:v>1</x:v>
      </x:c>
      <x:c r="I412" s="88"/>
      <x:c r="J412" s="89"/>
      <x:c r="K412" s="88"/>
      <x:c r="L412" s="90" t="n">
        <x:v>0</x:v>
      </x:c>
      <x:c r="M412" s="88"/>
      <x:c r="N412" s="91" t="n">
        <x:v>52</x:v>
      </x:c>
      <x:c r="O412" s="92" t="b">
        <x:v>0</x:v>
      </x:c>
      <x:c r="P412" s="88"/>
    </x:row>
    <x:row r="413">
      <x:c r="A413" s="56" t="str">
        <x:v>sizzly-slide</x:v>
      </x:c>
      <x:c r="B413" s="56" t="str">
        <x:v>めらめらバーン</x:v>
      </x:c>
      <x:c r="C413" s="56" t="str">
        <x:v>Sizzly Slide</x:v>
      </x:c>
      <x:c r="D413" s="85" t="str">
        <x:v>ほのお</x:v>
      </x:c>
      <x:c r="E413" s="86" t="n">
        <x:v>60</x:v>
      </x:c>
      <x:c r="F413" s="85" t="str">
        <x:v>物理</x:v>
      </x:c>
      <x:c r="G413" s="85" t="str">
        <x:v>単体対象</x:v>
      </x:c>
      <x:c r="H413" s="87" t="b">
        <x:v>1</x:v>
      </x:c>
      <x:c r="I413" s="88"/>
      <x:c r="J413" s="89"/>
      <x:c r="K413" s="88"/>
      <x:c r="L413" s="90" t="n">
        <x:v>0</x:v>
      </x:c>
      <x:c r="M413" s="88"/>
      <x:c r="N413" s="91" t="n">
        <x:v>1</x:v>
      </x:c>
      <x:c r="O413" s="92" t="b">
        <x:v>0</x:v>
      </x:c>
      <x:c r="P413" s="88"/>
    </x:row>
    <x:row r="414">
      <x:c r="A414" s="56" t="str">
        <x:v>skitter-smack</x:v>
      </x:c>
      <x:c r="B414" s="56" t="str">
        <x:v>はいよるいちげき</x:v>
      </x:c>
      <x:c r="C414" s="56" t="str">
        <x:v>Skitter Smack</x:v>
      </x:c>
      <x:c r="D414" s="85" t="str">
        <x:v>むし</x:v>
      </x:c>
      <x:c r="E414" s="86" t="n">
        <x:v>70</x:v>
      </x:c>
      <x:c r="F414" s="85" t="str">
        <x:v>物理</x:v>
      </x:c>
      <x:c r="G414" s="85" t="str">
        <x:v>単体対象</x:v>
      </x:c>
      <x:c r="H414" s="87" t="b">
        <x:v>1</x:v>
      </x:c>
      <x:c r="I414" s="88"/>
      <x:c r="J414" s="89"/>
      <x:c r="K414" s="88"/>
      <x:c r="L414" s="90" t="n">
        <x:v>0</x:v>
      </x:c>
      <x:c r="M414" s="88"/>
      <x:c r="N414" s="91" t="n">
        <x:v>154</x:v>
      </x:c>
      <x:c r="O414" s="92" t="b">
        <x:v>0</x:v>
      </x:c>
      <x:c r="P414" s="88"/>
    </x:row>
    <x:row r="415">
      <x:c r="A415" s="56" t="str">
        <x:v>skull-bash</x:v>
      </x:c>
      <x:c r="B415" s="56" t="str">
        <x:v>ロケットずつき</x:v>
      </x:c>
      <x:c r="C415" s="56" t="str">
        <x:v>Skull Bash</x:v>
      </x:c>
      <x:c r="D415" s="85" t="str">
        <x:v>ノーマル</x:v>
      </x:c>
      <x:c r="E415" s="86" t="n">
        <x:v>130</x:v>
      </x:c>
      <x:c r="F415" s="85" t="str">
        <x:v>物理</x:v>
      </x:c>
      <x:c r="G415" s="85" t="str">
        <x:v>単体対象</x:v>
      </x:c>
      <x:c r="H415" s="87" t="b">
        <x:v>1</x:v>
      </x:c>
      <x:c r="I415" s="88"/>
      <x:c r="J415" s="89"/>
      <x:c r="K415" s="88"/>
      <x:c r="L415" s="90" t="n">
        <x:v>0</x:v>
      </x:c>
      <x:c r="M415" s="88"/>
      <x:c r="N415" s="91" t="n">
        <x:v>116</x:v>
      </x:c>
      <x:c r="O415" s="92" t="b">
        <x:v>0</x:v>
      </x:c>
      <x:c r="P415" s="88"/>
    </x:row>
    <x:row r="416">
      <x:c r="A416" s="56" t="str">
        <x:v>sky-attack</x:v>
      </x:c>
      <x:c r="B416" s="56" t="str">
        <x:v>ゴッドバード</x:v>
      </x:c>
      <x:c r="C416" s="56" t="str">
        <x:v>Sky Attack</x:v>
      </x:c>
      <x:c r="D416" s="85" t="str">
        <x:v>ひこう</x:v>
      </x:c>
      <x:c r="E416" s="86" t="n">
        <x:v>140</x:v>
      </x:c>
      <x:c r="F416" s="85" t="str">
        <x:v>物理</x:v>
      </x:c>
      <x:c r="G416" s="85" t="str">
        <x:v>単体対象</x:v>
      </x:c>
      <x:c r="H416" s="87" t="b">
        <x:v>1</x:v>
      </x:c>
      <x:c r="I416" s="88"/>
      <x:c r="J416" s="89"/>
      <x:c r="K416" s="88"/>
      <x:c r="L416" s="90" t="n">
        <x:v>0</x:v>
      </x:c>
      <x:c r="M416" s="88"/>
      <x:c r="N416" s="91" t="n">
        <x:v>74</x:v>
      </x:c>
      <x:c r="O416" s="92" t="b">
        <x:v>0</x:v>
      </x:c>
      <x:c r="P416" s="88"/>
    </x:row>
    <x:row r="417">
      <x:c r="A417" s="56" t="str">
        <x:v>sky-drop</x:v>
      </x:c>
      <x:c r="B417" s="56" t="str">
        <x:v>フリーフォール</x:v>
      </x:c>
      <x:c r="C417" s="56" t="str">
        <x:v>Sky Drop</x:v>
      </x:c>
      <x:c r="D417" s="85" t="str">
        <x:v>ひこう</x:v>
      </x:c>
      <x:c r="E417" s="86" t="n">
        <x:v>60</x:v>
      </x:c>
      <x:c r="F417" s="85" t="str">
        <x:v>物理</x:v>
      </x:c>
      <x:c r="G417" s="85" t="str">
        <x:v>単体対象</x:v>
      </x:c>
      <x:c r="H417" s="87" t="b">
        <x:v>1</x:v>
      </x:c>
      <x:c r="I417" s="88"/>
      <x:c r="J417" s="89"/>
      <x:c r="K417" s="88"/>
      <x:c r="L417" s="90" t="n">
        <x:v>0</x:v>
      </x:c>
      <x:c r="M417" s="88"/>
      <x:c r="N417" s="91" t="n">
        <x:v>29</x:v>
      </x:c>
      <x:c r="O417" s="92" t="b">
        <x:v>0</x:v>
      </x:c>
      <x:c r="P417" s="88"/>
    </x:row>
    <x:row r="418">
      <x:c r="A418" s="56" t="str">
        <x:v>sky-uppercut</x:v>
      </x:c>
      <x:c r="B418" s="56" t="str">
        <x:v>スカイアッパー</x:v>
      </x:c>
      <x:c r="C418" s="56" t="str">
        <x:v>Sky Uppercut</x:v>
      </x:c>
      <x:c r="D418" s="85" t="str">
        <x:v>かくとう</x:v>
      </x:c>
      <x:c r="E418" s="86" t="n">
        <x:v>85</x:v>
      </x:c>
      <x:c r="F418" s="85" t="str">
        <x:v>物理</x:v>
      </x:c>
      <x:c r="G418" s="85" t="str">
        <x:v>単体対象</x:v>
      </x:c>
      <x:c r="H418" s="87" t="b">
        <x:v>1</x:v>
      </x:c>
      <x:c r="I418" s="88"/>
      <x:c r="J418" s="89"/>
      <x:c r="K418" s="88"/>
      <x:c r="L418" s="90" t="n">
        <x:v>0</x:v>
      </x:c>
      <x:c r="M418" s="88"/>
      <x:c r="N418" s="91" t="n">
        <x:v>14</x:v>
      </x:c>
      <x:c r="O418" s="92" t="b">
        <x:v>0</x:v>
      </x:c>
      <x:c r="P418" s="88"/>
    </x:row>
    <x:row r="419">
      <x:c r="A419" s="56" t="str">
        <x:v>slam</x:v>
      </x:c>
      <x:c r="B419" s="56" t="str">
        <x:v>たたきつける</x:v>
      </x:c>
      <x:c r="C419" s="56" t="str">
        <x:v>Slam</x:v>
      </x:c>
      <x:c r="D419" s="85" t="str">
        <x:v>ノーマル</x:v>
      </x:c>
      <x:c r="E419" s="86" t="n">
        <x:v>80</x:v>
      </x:c>
      <x:c r="F419" s="85" t="str">
        <x:v>物理</x:v>
      </x:c>
      <x:c r="G419" s="85" t="str">
        <x:v>単体対象</x:v>
      </x:c>
      <x:c r="H419" s="87" t="b">
        <x:v>1</x:v>
      </x:c>
      <x:c r="I419" s="88"/>
      <x:c r="J419" s="89"/>
      <x:c r="K419" s="88"/>
      <x:c r="L419" s="90" t="n">
        <x:v>0</x:v>
      </x:c>
      <x:c r="M419" s="88"/>
      <x:c r="N419" s="91" t="n">
        <x:v>109</x:v>
      </x:c>
      <x:c r="O419" s="92" t="b">
        <x:v>0</x:v>
      </x:c>
      <x:c r="P419" s="88"/>
    </x:row>
    <x:row r="420">
      <x:c r="A420" s="56" t="str">
        <x:v>slash</x:v>
      </x:c>
      <x:c r="B420" s="56" t="str">
        <x:v>きりさく</x:v>
      </x:c>
      <x:c r="C420" s="56" t="str">
        <x:v>Slash</x:v>
      </x:c>
      <x:c r="D420" s="85" t="str">
        <x:v>ノーマル</x:v>
      </x:c>
      <x:c r="E420" s="86" t="n">
        <x:v>70</x:v>
      </x:c>
      <x:c r="F420" s="85" t="str">
        <x:v>物理</x:v>
      </x:c>
      <x:c r="G420" s="85" t="str">
        <x:v>単体対象</x:v>
      </x:c>
      <x:c r="H420" s="87" t="b">
        <x:v>1</x:v>
      </x:c>
      <x:c r="I420" s="88"/>
      <x:c r="J420" s="89"/>
      <x:c r="K420" s="88"/>
      <x:c r="L420" s="90" t="n">
        <x:v>0</x:v>
      </x:c>
      <x:c r="M420" s="88"/>
      <x:c r="N420" s="91" t="n">
        <x:v>167</x:v>
      </x:c>
      <x:c r="O420" s="92" t="b">
        <x:v>0</x:v>
      </x:c>
      <x:c r="P420" s="88"/>
    </x:row>
    <x:row r="421">
      <x:c r="A421" s="56" t="str">
        <x:v>sludge</x:v>
      </x:c>
      <x:c r="B421" s="56" t="str">
        <x:v>ヘドロこうげき</x:v>
      </x:c>
      <x:c r="C421" s="56" t="str">
        <x:v>Sludge</x:v>
      </x:c>
      <x:c r="D421" s="85" t="str">
        <x:v>どく</x:v>
      </x:c>
      <x:c r="E421" s="86" t="n">
        <x:v>65</x:v>
      </x:c>
      <x:c r="F421" s="85" t="str">
        <x:v>特殊</x:v>
      </x:c>
      <x:c r="G421" s="85" t="str">
        <x:v>単体対象</x:v>
      </x:c>
      <x:c r="H421" s="87" t="b">
        <x:v>1</x:v>
      </x:c>
      <x:c r="I421" s="88"/>
      <x:c r="J421" s="89"/>
      <x:c r="K421" s="88"/>
      <x:c r="L421" s="90" t="n">
        <x:v>0</x:v>
      </x:c>
      <x:c r="M421" s="88"/>
      <x:c r="N421" s="91" t="n">
        <x:v>16</x:v>
      </x:c>
      <x:c r="O421" s="92" t="b">
        <x:v>0</x:v>
      </x:c>
      <x:c r="P421" s="88"/>
    </x:row>
    <x:row r="422">
      <x:c r="A422" s="56" t="str">
        <x:v>sludge-bomb</x:v>
      </x:c>
      <x:c r="B422" s="56" t="str">
        <x:v>ヘドロばくだん</x:v>
      </x:c>
      <x:c r="C422" s="56" t="str">
        <x:v>Sludge Bomb</x:v>
      </x:c>
      <x:c r="D422" s="85" t="str">
        <x:v>どく</x:v>
      </x:c>
      <x:c r="E422" s="86" t="n">
        <x:v>90</x:v>
      </x:c>
      <x:c r="F422" s="85" t="str">
        <x:v>特殊</x:v>
      </x:c>
      <x:c r="G422" s="85" t="str">
        <x:v>単体対象</x:v>
      </x:c>
      <x:c r="H422" s="87" t="b">
        <x:v>1</x:v>
      </x:c>
      <x:c r="I422" s="88"/>
      <x:c r="J422" s="89"/>
      <x:c r="K422" s="88"/>
      <x:c r="L422" s="90" t="n">
        <x:v>0</x:v>
      </x:c>
      <x:c r="M422" s="88"/>
      <x:c r="N422" s="91" t="n">
        <x:v>209</x:v>
      </x:c>
      <x:c r="O422" s="92" t="b">
        <x:v>0</x:v>
      </x:c>
      <x:c r="P422" s="88"/>
    </x:row>
    <x:row r="423">
      <x:c r="A423" s="56" t="str">
        <x:v>sludge-wave</x:v>
      </x:c>
      <x:c r="B423" s="56" t="str">
        <x:v>ヘドロウェーブ</x:v>
      </x:c>
      <x:c r="C423" s="56" t="str">
        <x:v>Sludge Wave</x:v>
      </x:c>
      <x:c r="D423" s="85" t="str">
        <x:v>どく</x:v>
      </x:c>
      <x:c r="E423" s="86" t="n">
        <x:v>95</x:v>
      </x:c>
      <x:c r="F423" s="85" t="str">
        <x:v>特殊</x:v>
      </x:c>
      <x:c r="G423" s="85" t="str">
        <x:v>複数対象</x:v>
      </x:c>
      <x:c r="H423" s="87" t="b">
        <x:v>1</x:v>
      </x:c>
      <x:c r="I423" s="88"/>
      <x:c r="J423" s="89"/>
      <x:c r="K423" s="88"/>
      <x:c r="L423" s="90" t="n">
        <x:v>0</x:v>
      </x:c>
      <x:c r="M423" s="88"/>
      <x:c r="N423" s="91" t="n">
        <x:v>118</x:v>
      </x:c>
      <x:c r="O423" s="92" t="b">
        <x:v>1</x:v>
      </x:c>
      <x:c r="P423" s="88"/>
    </x:row>
    <x:row r="424">
      <x:c r="A424" s="56" t="str">
        <x:v>smack-down</x:v>
      </x:c>
      <x:c r="B424" s="56" t="str">
        <x:v>うちおとす</x:v>
      </x:c>
      <x:c r="C424" s="56" t="str">
        <x:v>Smack Down</x:v>
      </x:c>
      <x:c r="D424" s="85" t="str">
        <x:v>いわ</x:v>
      </x:c>
      <x:c r="E424" s="86" t="n">
        <x:v>50</x:v>
      </x:c>
      <x:c r="F424" s="85" t="str">
        <x:v>物理</x:v>
      </x:c>
      <x:c r="G424" s="85" t="str">
        <x:v>単体対象</x:v>
      </x:c>
      <x:c r="H424" s="87" t="b">
        <x:v>1</x:v>
      </x:c>
      <x:c r="I424" s="88"/>
      <x:c r="J424" s="89"/>
      <x:c r="K424" s="88"/>
      <x:c r="L424" s="90" t="n">
        <x:v>0</x:v>
      </x:c>
      <x:c r="M424" s="88"/>
      <x:c r="N424" s="91" t="n">
        <x:v>192</x:v>
      </x:c>
      <x:c r="O424" s="92" t="b">
        <x:v>0</x:v>
      </x:c>
      <x:c r="P424" s="88"/>
    </x:row>
    <x:row r="425">
      <x:c r="A425" s="56" t="str">
        <x:v>smart-strike</x:v>
      </x:c>
      <x:c r="B425" s="56" t="str">
        <x:v>スマートホーン</x:v>
      </x:c>
      <x:c r="C425" s="56" t="str">
        <x:v>Smart Strike</x:v>
      </x:c>
      <x:c r="D425" s="85" t="str">
        <x:v>はがね</x:v>
      </x:c>
      <x:c r="E425" s="86" t="n">
        <x:v>70</x:v>
      </x:c>
      <x:c r="F425" s="85" t="str">
        <x:v>物理</x:v>
      </x:c>
      <x:c r="G425" s="85" t="str">
        <x:v>単体対象</x:v>
      </x:c>
      <x:c r="H425" s="87" t="b">
        <x:v>1</x:v>
      </x:c>
      <x:c r="I425" s="88"/>
      <x:c r="J425" s="89"/>
      <x:c r="K425" s="88"/>
      <x:c r="L425" s="90" t="n">
        <x:v>0</x:v>
      </x:c>
      <x:c r="M425" s="88"/>
      <x:c r="N425" s="91" t="n">
        <x:v>70</x:v>
      </x:c>
      <x:c r="O425" s="92" t="b">
        <x:v>0</x:v>
      </x:c>
      <x:c r="P425" s="88"/>
    </x:row>
    <x:row r="426">
      <x:c r="A426" s="56" t="str">
        <x:v>smelling-salts</x:v>
      </x:c>
      <x:c r="B426" s="56" t="str">
        <x:v>きつけ</x:v>
      </x:c>
      <x:c r="C426" s="56" t="str">
        <x:v>Smelling Salts</x:v>
      </x:c>
      <x:c r="D426" s="85" t="str">
        <x:v>ノーマル</x:v>
      </x:c>
      <x:c r="E426" s="86" t="n">
        <x:v>70</x:v>
      </x:c>
      <x:c r="F426" s="85" t="str">
        <x:v>物理</x:v>
      </x:c>
      <x:c r="G426" s="85" t="str">
        <x:v>単体対象</x:v>
      </x:c>
      <x:c r="H426" s="87" t="b">
        <x:v>1</x:v>
      </x:c>
      <x:c r="I426" s="88"/>
      <x:c r="J426" s="89"/>
      <x:c r="K426" s="88"/>
      <x:c r="L426" s="90" t="n">
        <x:v>0</x:v>
      </x:c>
      <x:c r="M426" s="88"/>
      <x:c r="N426" s="91" t="n">
        <x:v>14</x:v>
      </x:c>
      <x:c r="O426" s="92" t="b">
        <x:v>0</x:v>
      </x:c>
      <x:c r="P426" s="88"/>
    </x:row>
    <x:row r="427">
      <x:c r="A427" s="56" t="str">
        <x:v>smog</x:v>
      </x:c>
      <x:c r="B427" s="56" t="str">
        <x:v>スモッグ</x:v>
      </x:c>
      <x:c r="C427" s="56" t="str">
        <x:v>Smog</x:v>
      </x:c>
      <x:c r="D427" s="85" t="str">
        <x:v>どく</x:v>
      </x:c>
      <x:c r="E427" s="86" t="n">
        <x:v>30</x:v>
      </x:c>
      <x:c r="F427" s="85" t="str">
        <x:v>特殊</x:v>
      </x:c>
      <x:c r="G427" s="85" t="str">
        <x:v>単体対象</x:v>
      </x:c>
      <x:c r="H427" s="87" t="b">
        <x:v>1</x:v>
      </x:c>
      <x:c r="I427" s="88"/>
      <x:c r="J427" s="89"/>
      <x:c r="K427" s="88"/>
      <x:c r="L427" s="90" t="n">
        <x:v>0</x:v>
      </x:c>
      <x:c r="M427" s="88"/>
      <x:c r="N427" s="91" t="n">
        <x:v>34</x:v>
      </x:c>
      <x:c r="O427" s="92" t="b">
        <x:v>0</x:v>
      </x:c>
      <x:c r="P427" s="88"/>
    </x:row>
    <x:row r="428">
      <x:c r="A428" s="56" t="str">
        <x:v>snap-trap</x:v>
      </x:c>
      <x:c r="B428" s="56" t="str">
        <x:v>トラバサミ</x:v>
      </x:c>
      <x:c r="C428" s="56" t="str">
        <x:v>Snap Trap</x:v>
      </x:c>
      <x:c r="D428" s="85" t="str">
        <x:v>くさ</x:v>
      </x:c>
      <x:c r="E428" s="86" t="n">
        <x:v>35</x:v>
      </x:c>
      <x:c r="F428" s="85" t="str">
        <x:v>物理</x:v>
      </x:c>
      <x:c r="G428" s="85" t="str">
        <x:v>単体対象</x:v>
      </x:c>
      <x:c r="H428" s="87" t="b">
        <x:v>1</x:v>
      </x:c>
      <x:c r="I428" s="88"/>
      <x:c r="J428" s="89"/>
      <x:c r="K428" s="88"/>
      <x:c r="L428" s="90" t="n">
        <x:v>0</x:v>
      </x:c>
      <x:c r="M428" s="88"/>
      <x:c r="N428" s="91" t="n">
        <x:v>1</x:v>
      </x:c>
      <x:c r="O428" s="92" t="b">
        <x:v>0</x:v>
      </x:c>
      <x:c r="P428" s="88"/>
    </x:row>
    <x:row r="429">
      <x:c r="A429" s="56" t="str">
        <x:v>snarl</x:v>
      </x:c>
      <x:c r="B429" s="56" t="str">
        <x:v>バークアウト</x:v>
      </x:c>
      <x:c r="C429" s="56" t="str">
        <x:v>Snarl</x:v>
      </x:c>
      <x:c r="D429" s="85" t="str">
        <x:v>あく</x:v>
      </x:c>
      <x:c r="E429" s="86" t="n">
        <x:v>55</x:v>
      </x:c>
      <x:c r="F429" s="85" t="str">
        <x:v>特殊</x:v>
      </x:c>
      <x:c r="G429" s="85" t="str">
        <x:v>複数対象</x:v>
      </x:c>
      <x:c r="H429" s="87" t="b">
        <x:v>1</x:v>
      </x:c>
      <x:c r="I429" s="88"/>
      <x:c r="J429" s="89"/>
      <x:c r="K429" s="88"/>
      <x:c r="L429" s="90" t="n">
        <x:v>0</x:v>
      </x:c>
      <x:c r="M429" s="88"/>
      <x:c r="N429" s="91" t="n">
        <x:v>183</x:v>
      </x:c>
      <x:c r="O429" s="92" t="b">
        <x:v>1</x:v>
      </x:c>
      <x:c r="P429" s="88"/>
    </x:row>
    <x:row r="430">
      <x:c r="A430" s="56" t="str">
        <x:v>snipe-shot</x:v>
      </x:c>
      <x:c r="B430" s="56" t="str">
        <x:v>ねらいうち</x:v>
      </x:c>
      <x:c r="C430" s="56" t="str">
        <x:v>Snipe Shot</x:v>
      </x:c>
      <x:c r="D430" s="85" t="str">
        <x:v>みず</x:v>
      </x:c>
      <x:c r="E430" s="86" t="n">
        <x:v>80</x:v>
      </x:c>
      <x:c r="F430" s="85" t="str">
        <x:v>特殊</x:v>
      </x:c>
      <x:c r="G430" s="85" t="str">
        <x:v>単体対象</x:v>
      </x:c>
      <x:c r="H430" s="87" t="b">
        <x:v>1</x:v>
      </x:c>
      <x:c r="I430" s="88"/>
      <x:c r="J430" s="89"/>
      <x:c r="K430" s="88"/>
      <x:c r="L430" s="90" t="n">
        <x:v>0</x:v>
      </x:c>
      <x:c r="M430" s="88"/>
      <x:c r="N430" s="91" t="n">
        <x:v>1</x:v>
      </x:c>
      <x:c r="O430" s="92" t="b">
        <x:v>0</x:v>
      </x:c>
      <x:c r="P430" s="88"/>
    </x:row>
    <x:row r="431">
      <x:c r="A431" s="56" t="str">
        <x:v>snore</x:v>
      </x:c>
      <x:c r="B431" s="56" t="str">
        <x:v>いびき</x:v>
      </x:c>
      <x:c r="C431" s="56" t="str">
        <x:v>Snore</x:v>
      </x:c>
      <x:c r="D431" s="85" t="str">
        <x:v>ノーマル</x:v>
      </x:c>
      <x:c r="E431" s="86" t="n">
        <x:v>50</x:v>
      </x:c>
      <x:c r="F431" s="85" t="str">
        <x:v>特殊</x:v>
      </x:c>
      <x:c r="G431" s="85" t="str">
        <x:v>単体対象</x:v>
      </x:c>
      <x:c r="H431" s="87" t="b">
        <x:v>1</x:v>
      </x:c>
      <x:c r="I431" s="88"/>
      <x:c r="J431" s="89"/>
      <x:c r="K431" s="88"/>
      <x:c r="L431" s="90" t="n">
        <x:v>0</x:v>
      </x:c>
      <x:c r="M431" s="88"/>
      <x:c r="N431" s="91" t="n">
        <x:v>1101</x:v>
      </x:c>
      <x:c r="O431" s="92" t="b">
        <x:v>0</x:v>
      </x:c>
      <x:c r="P431" s="88"/>
    </x:row>
    <x:row r="432">
      <x:c r="A432" s="56" t="str">
        <x:v>solar-beam</x:v>
      </x:c>
      <x:c r="B432" s="56" t="str">
        <x:v>ソーラービーム</x:v>
      </x:c>
      <x:c r="C432" s="56" t="str">
        <x:v>Solar Beam</x:v>
      </x:c>
      <x:c r="D432" s="85" t="str">
        <x:v>くさ</x:v>
      </x:c>
      <x:c r="E432" s="86" t="n">
        <x:v>120</x:v>
      </x:c>
      <x:c r="F432" s="85" t="str">
        <x:v>特殊</x:v>
      </x:c>
      <x:c r="G432" s="85" t="str">
        <x:v>単体対象</x:v>
      </x:c>
      <x:c r="H432" s="87" t="b">
        <x:v>1</x:v>
      </x:c>
      <x:c r="I432" s="88"/>
      <x:c r="J432" s="89"/>
      <x:c r="K432" s="88"/>
      <x:c r="L432" s="90" t="n">
        <x:v>0</x:v>
      </x:c>
      <x:c r="M432" s="88"/>
      <x:c r="N432" s="91" t="n">
        <x:v>415</x:v>
      </x:c>
      <x:c r="O432" s="92" t="b">
        <x:v>0</x:v>
      </x:c>
      <x:c r="P432" s="88"/>
    </x:row>
    <x:row r="433">
      <x:c r="A433" s="56" t="str">
        <x:v>solar-blade</x:v>
      </x:c>
      <x:c r="B433" s="56" t="str">
        <x:v>ソーラーブレード</x:v>
      </x:c>
      <x:c r="C433" s="56" t="str">
        <x:v>Solar Blade</x:v>
      </x:c>
      <x:c r="D433" s="85" t="str">
        <x:v>くさ</x:v>
      </x:c>
      <x:c r="E433" s="86" t="n">
        <x:v>125</x:v>
      </x:c>
      <x:c r="F433" s="85" t="str">
        <x:v>物理</x:v>
      </x:c>
      <x:c r="G433" s="85" t="str">
        <x:v>単体対象</x:v>
      </x:c>
      <x:c r="H433" s="87" t="b">
        <x:v>1</x:v>
      </x:c>
      <x:c r="I433" s="88"/>
      <x:c r="J433" s="89"/>
      <x:c r="K433" s="88"/>
      <x:c r="L433" s="90" t="n">
        <x:v>0</x:v>
      </x:c>
      <x:c r="M433" s="88"/>
      <x:c r="N433" s="91" t="n">
        <x:v>62</x:v>
      </x:c>
      <x:c r="O433" s="92" t="b">
        <x:v>0</x:v>
      </x:c>
      <x:c r="P433" s="88"/>
    </x:row>
    <x:row r="434">
      <x:c r="A434" s="56" t="str">
        <x:v>spacial-rend</x:v>
      </x:c>
      <x:c r="B434" s="56" t="str">
        <x:v>あくうせつだん</x:v>
      </x:c>
      <x:c r="C434" s="56" t="str">
        <x:v>Spacial Rend</x:v>
      </x:c>
      <x:c r="D434" s="85" t="str">
        <x:v>ドラゴン</x:v>
      </x:c>
      <x:c r="E434" s="86" t="n">
        <x:v>100</x:v>
      </x:c>
      <x:c r="F434" s="85" t="str">
        <x:v>特殊</x:v>
      </x:c>
      <x:c r="G434" s="85" t="str">
        <x:v>単体対象</x:v>
      </x:c>
      <x:c r="H434" s="87" t="b">
        <x:v>1</x:v>
      </x:c>
      <x:c r="I434" s="88"/>
      <x:c r="J434" s="89"/>
      <x:c r="K434" s="88"/>
      <x:c r="L434" s="90" t="n">
        <x:v>0</x:v>
      </x:c>
      <x:c r="M434" s="88"/>
      <x:c r="N434" s="91" t="n">
        <x:v>2</x:v>
      </x:c>
      <x:c r="O434" s="92" t="b">
        <x:v>0</x:v>
      </x:c>
      <x:c r="P434" s="88"/>
    </x:row>
    <x:row r="435">
      <x:c r="A435" s="56" t="str">
        <x:v>spark</x:v>
      </x:c>
      <x:c r="B435" s="56" t="str">
        <x:v>スパーク</x:v>
      </x:c>
      <x:c r="C435" s="56" t="str">
        <x:v>Spark</x:v>
      </x:c>
      <x:c r="D435" s="85" t="str">
        <x:v>でんき</x:v>
      </x:c>
      <x:c r="E435" s="86" t="n">
        <x:v>65</x:v>
      </x:c>
      <x:c r="F435" s="85" t="str">
        <x:v>物理</x:v>
      </x:c>
      <x:c r="G435" s="85" t="str">
        <x:v>単体対象</x:v>
      </x:c>
      <x:c r="H435" s="87" t="b">
        <x:v>1</x:v>
      </x:c>
      <x:c r="I435" s="88"/>
      <x:c r="J435" s="89"/>
      <x:c r="K435" s="88"/>
      <x:c r="L435" s="90" t="n">
        <x:v>0</x:v>
      </x:c>
      <x:c r="M435" s="88"/>
      <x:c r="N435" s="91" t="n">
        <x:v>79</x:v>
      </x:c>
      <x:c r="O435" s="92" t="b">
        <x:v>0</x:v>
      </x:c>
      <x:c r="P435" s="88"/>
    </x:row>
    <x:row r="436">
      <x:c r="A436" s="56" t="str">
        <x:v>sparkling-aria</x:v>
      </x:c>
      <x:c r="B436" s="56" t="str">
        <x:v>うたかたのアリア</x:v>
      </x:c>
      <x:c r="C436" s="56" t="str">
        <x:v>Sparkling Aria</x:v>
      </x:c>
      <x:c r="D436" s="85" t="str">
        <x:v>みず</x:v>
      </x:c>
      <x:c r="E436" s="86" t="n">
        <x:v>90</x:v>
      </x:c>
      <x:c r="F436" s="85" t="str">
        <x:v>特殊</x:v>
      </x:c>
      <x:c r="G436" s="85" t="str">
        <x:v>複数対象</x:v>
      </x:c>
      <x:c r="H436" s="87" t="b">
        <x:v>1</x:v>
      </x:c>
      <x:c r="I436" s="88"/>
      <x:c r="J436" s="89"/>
      <x:c r="K436" s="88"/>
      <x:c r="L436" s="90" t="n">
        <x:v>0</x:v>
      </x:c>
      <x:c r="M436" s="88"/>
      <x:c r="N436" s="91" t="n">
        <x:v>2</x:v>
      </x:c>
      <x:c r="O436" s="92" t="b">
        <x:v>1</x:v>
      </x:c>
      <x:c r="P436" s="88"/>
    </x:row>
    <x:row r="437">
      <x:c r="A437" s="56" t="str">
        <x:v>sparkly-swirl</x:v>
      </x:c>
      <x:c r="B437" s="56" t="str">
        <x:v>きらきらストーム</x:v>
      </x:c>
      <x:c r="C437" s="56" t="str">
        <x:v>Sparkly Swirl</x:v>
      </x:c>
      <x:c r="D437" s="85" t="str">
        <x:v>フェアリー</x:v>
      </x:c>
      <x:c r="E437" s="86" t="n">
        <x:v>120</x:v>
      </x:c>
      <x:c r="F437" s="85" t="str">
        <x:v>特殊</x:v>
      </x:c>
      <x:c r="G437" s="85" t="str">
        <x:v>単体対象</x:v>
      </x:c>
      <x:c r="H437" s="87" t="b">
        <x:v>1</x:v>
      </x:c>
      <x:c r="I437" s="88"/>
      <x:c r="J437" s="89"/>
      <x:c r="K437" s="88"/>
      <x:c r="L437" s="90" t="n">
        <x:v>0</x:v>
      </x:c>
      <x:c r="M437" s="88"/>
      <x:c r="N437" s="91" t="n">
        <x:v>1</x:v>
      </x:c>
      <x:c r="O437" s="92" t="b">
        <x:v>0</x:v>
      </x:c>
      <x:c r="P437" s="88"/>
    </x:row>
    <x:row r="438">
      <x:c r="A438" s="56" t="str">
        <x:v>spectral-thief</x:v>
      </x:c>
      <x:c r="B438" s="56" t="str">
        <x:v>シャドースチール</x:v>
      </x:c>
      <x:c r="C438" s="56" t="str">
        <x:v>Spectral Thief</x:v>
      </x:c>
      <x:c r="D438" s="85" t="str">
        <x:v>ゴースト</x:v>
      </x:c>
      <x:c r="E438" s="86" t="n">
        <x:v>90</x:v>
      </x:c>
      <x:c r="F438" s="85" t="str">
        <x:v>物理</x:v>
      </x:c>
      <x:c r="G438" s="85" t="str">
        <x:v>単体対象</x:v>
      </x:c>
      <x:c r="H438" s="87" t="b">
        <x:v>1</x:v>
      </x:c>
      <x:c r="I438" s="88"/>
      <x:c r="J438" s="89"/>
      <x:c r="K438" s="88"/>
      <x:c r="L438" s="90" t="n">
        <x:v>0</x:v>
      </x:c>
      <x:c r="M438" s="88"/>
      <x:c r="N438" s="91" t="n">
        <x:v>1</x:v>
      </x:c>
      <x:c r="O438" s="92" t="b">
        <x:v>0</x:v>
      </x:c>
      <x:c r="P438" s="88"/>
    </x:row>
    <x:row r="439">
      <x:c r="A439" s="56" t="str">
        <x:v>spike-cannon</x:v>
      </x:c>
      <x:c r="B439" s="56" t="str">
        <x:v>とげキャノン</x:v>
      </x:c>
      <x:c r="C439" s="56" t="str">
        <x:v>Spike Cannon</x:v>
      </x:c>
      <x:c r="D439" s="85" t="str">
        <x:v>ノーマル</x:v>
      </x:c>
      <x:c r="E439" s="86" t="n">
        <x:v>20</x:v>
      </x:c>
      <x:c r="F439" s="85" t="str">
        <x:v>物理</x:v>
      </x:c>
      <x:c r="G439" s="85" t="str">
        <x:v>単体対象</x:v>
      </x:c>
      <x:c r="H439" s="87" t="b">
        <x:v>1</x:v>
      </x:c>
      <x:c r="I439" s="88"/>
      <x:c r="J439" s="89"/>
      <x:c r="K439" s="88"/>
      <x:c r="L439" s="90" t="n">
        <x:v>0</x:v>
      </x:c>
      <x:c r="M439" s="88"/>
      <x:c r="N439" s="91" t="n">
        <x:v>6</x:v>
      </x:c>
      <x:c r="O439" s="92" t="b">
        <x:v>0</x:v>
      </x:c>
      <x:c r="P439" s="88"/>
    </x:row>
    <x:row r="440">
      <x:c r="A440" s="56" t="str">
        <x:v>spin-out</x:v>
      </x:c>
      <x:c r="B440" s="56" t="str">
        <x:v>ホイールスピン</x:v>
      </x:c>
      <x:c r="C440" s="56" t="str">
        <x:v>Spin Out</x:v>
      </x:c>
      <x:c r="D440" s="85" t="str">
        <x:v>はがね</x:v>
      </x:c>
      <x:c r="E440" s="86" t="n">
        <x:v>100</x:v>
      </x:c>
      <x:c r="F440" s="85" t="str">
        <x:v>物理</x:v>
      </x:c>
      <x:c r="G440" s="85" t="str">
        <x:v>単体対象</x:v>
      </x:c>
      <x:c r="H440" s="87" t="b">
        <x:v>1</x:v>
      </x:c>
      <x:c r="I440" s="88"/>
      <x:c r="J440" s="89"/>
      <x:c r="K440" s="88"/>
      <x:c r="L440" s="90" t="n">
        <x:v>0</x:v>
      </x:c>
      <x:c r="M440" s="88"/>
      <x:c r="N440" s="91" t="n">
        <x:v>2</x:v>
      </x:c>
      <x:c r="O440" s="92" t="b">
        <x:v>0</x:v>
      </x:c>
      <x:c r="P440" s="88"/>
    </x:row>
    <x:row r="441">
      <x:c r="A441" s="56" t="str">
        <x:v>spirit-break</x:v>
      </x:c>
      <x:c r="B441" s="56" t="str">
        <x:v>ソウルクラッシュ</x:v>
      </x:c>
      <x:c r="C441" s="56" t="str">
        <x:v>Spirit Break</x:v>
      </x:c>
      <x:c r="D441" s="85" t="str">
        <x:v>フェアリー</x:v>
      </x:c>
      <x:c r="E441" s="86" t="n">
        <x:v>75</x:v>
      </x:c>
      <x:c r="F441" s="85" t="str">
        <x:v>物理</x:v>
      </x:c>
      <x:c r="G441" s="85" t="str">
        <x:v>単体対象</x:v>
      </x:c>
      <x:c r="H441" s="87" t="b">
        <x:v>1</x:v>
      </x:c>
      <x:c r="I441" s="88"/>
      <x:c r="J441" s="89"/>
      <x:c r="K441" s="88"/>
      <x:c r="L441" s="90" t="n">
        <x:v>0</x:v>
      </x:c>
      <x:c r="M441" s="88"/>
      <x:c r="N441" s="91" t="n">
        <x:v>2</x:v>
      </x:c>
      <x:c r="O441" s="92" t="b">
        <x:v>0</x:v>
      </x:c>
      <x:c r="P441" s="88"/>
    </x:row>
    <x:row r="442">
      <x:c r="A442" s="56" t="str">
        <x:v>spirit-shackle</x:v>
      </x:c>
      <x:c r="B442" s="56" t="str">
        <x:v>かげぬい</x:v>
      </x:c>
      <x:c r="C442" s="56" t="str">
        <x:v>Spirit Shackle</x:v>
      </x:c>
      <x:c r="D442" s="85" t="str">
        <x:v>ゴースト</x:v>
      </x:c>
      <x:c r="E442" s="86" t="n">
        <x:v>80</x:v>
      </x:c>
      <x:c r="F442" s="85" t="str">
        <x:v>物理</x:v>
      </x:c>
      <x:c r="G442" s="85" t="str">
        <x:v>単体対象</x:v>
      </x:c>
      <x:c r="H442" s="87" t="b">
        <x:v>1</x:v>
      </x:c>
      <x:c r="I442" s="88"/>
      <x:c r="J442" s="89"/>
      <x:c r="K442" s="88"/>
      <x:c r="L442" s="90" t="n">
        <x:v>0</x:v>
      </x:c>
      <x:c r="M442" s="88"/>
      <x:c r="N442" s="91" t="n">
        <x:v>1</x:v>
      </x:c>
      <x:c r="O442" s="92" t="b">
        <x:v>0</x:v>
      </x:c>
      <x:c r="P442" s="88"/>
    </x:row>
    <x:row r="443">
      <x:c r="A443" s="56" t="str">
        <x:v>splishy-splash</x:v>
      </x:c>
      <x:c r="B443" s="56" t="str">
        <x:v>ざぶざぶサーフ</x:v>
      </x:c>
      <x:c r="C443" s="56" t="str">
        <x:v>Splishy Splash</x:v>
      </x:c>
      <x:c r="D443" s="85" t="str">
        <x:v>みず</x:v>
      </x:c>
      <x:c r="E443" s="86" t="n">
        <x:v>90</x:v>
      </x:c>
      <x:c r="F443" s="85" t="str">
        <x:v>特殊</x:v>
      </x:c>
      <x:c r="G443" s="85" t="str">
        <x:v>複数対象</x:v>
      </x:c>
      <x:c r="H443" s="87" t="b">
        <x:v>1</x:v>
      </x:c>
      <x:c r="I443" s="88"/>
      <x:c r="J443" s="89"/>
      <x:c r="K443" s="88"/>
      <x:c r="L443" s="90" t="n">
        <x:v>0</x:v>
      </x:c>
      <x:c r="M443" s="88"/>
      <x:c r="N443" s="91" t="n">
        <x:v>1</x:v>
      </x:c>
      <x:c r="O443" s="92" t="b">
        <x:v>1</x:v>
      </x:c>
      <x:c r="P443" s="88"/>
    </x:row>
    <x:row r="444">
      <x:c r="A444" s="56" t="str">
        <x:v>springtide-storm</x:v>
      </x:c>
      <x:c r="B444" s="56" t="str">
        <x:v>はるのあらし</x:v>
      </x:c>
      <x:c r="C444" s="56" t="str">
        <x:v>Springtide Storm</x:v>
      </x:c>
      <x:c r="D444" s="85" t="str">
        <x:v>フェアリー</x:v>
      </x:c>
      <x:c r="E444" s="86" t="n">
        <x:v>100</x:v>
      </x:c>
      <x:c r="F444" s="85" t="str">
        <x:v>特殊</x:v>
      </x:c>
      <x:c r="G444" s="85" t="str">
        <x:v>複数対象</x:v>
      </x:c>
      <x:c r="H444" s="87" t="b">
        <x:v>1</x:v>
      </x:c>
      <x:c r="I444" s="88"/>
      <x:c r="J444" s="89"/>
      <x:c r="K444" s="88"/>
      <x:c r="L444" s="90" t="n">
        <x:v>0</x:v>
      </x:c>
      <x:c r="M444" s="88"/>
      <x:c r="N444" s="91" t="n">
        <x:v>2</x:v>
      </x:c>
      <x:c r="O444" s="92" t="b">
        <x:v>1</x:v>
      </x:c>
      <x:c r="P444" s="88"/>
    </x:row>
    <x:row r="445">
      <x:c r="A445" s="56" t="str">
        <x:v>steam-eruption</x:v>
      </x:c>
      <x:c r="B445" s="56" t="str">
        <x:v>スチームバースト</x:v>
      </x:c>
      <x:c r="C445" s="56" t="str">
        <x:v>Steam Eruption</x:v>
      </x:c>
      <x:c r="D445" s="85" t="str">
        <x:v>みず</x:v>
      </x:c>
      <x:c r="E445" s="86" t="n">
        <x:v>110</x:v>
      </x:c>
      <x:c r="F445" s="85" t="str">
        <x:v>特殊</x:v>
      </x:c>
      <x:c r="G445" s="85" t="str">
        <x:v>単体対象</x:v>
      </x:c>
      <x:c r="H445" s="87" t="b">
        <x:v>1</x:v>
      </x:c>
      <x:c r="I445" s="88"/>
      <x:c r="J445" s="89"/>
      <x:c r="K445" s="88"/>
      <x:c r="L445" s="90" t="n">
        <x:v>0</x:v>
      </x:c>
      <x:c r="M445" s="88"/>
      <x:c r="N445" s="91" t="n">
        <x:v>1</x:v>
      </x:c>
      <x:c r="O445" s="92" t="b">
        <x:v>0</x:v>
      </x:c>
      <x:c r="P445" s="88"/>
    </x:row>
    <x:row r="446">
      <x:c r="A446" s="56" t="str">
        <x:v>steamroller</x:v>
      </x:c>
      <x:c r="B446" s="56" t="str">
        <x:v>ハードローラー</x:v>
      </x:c>
      <x:c r="C446" s="56" t="str">
        <x:v>Steamroller</x:v>
      </x:c>
      <x:c r="D446" s="85" t="str">
        <x:v>むし</x:v>
      </x:c>
      <x:c r="E446" s="86" t="n">
        <x:v>65</x:v>
      </x:c>
      <x:c r="F446" s="85" t="str">
        <x:v>物理</x:v>
      </x:c>
      <x:c r="G446" s="85" t="str">
        <x:v>単体対象</x:v>
      </x:c>
      <x:c r="H446" s="87" t="b">
        <x:v>1</x:v>
      </x:c>
      <x:c r="I446" s="88"/>
      <x:c r="J446" s="89"/>
      <x:c r="K446" s="88"/>
      <x:c r="L446" s="90" t="n">
        <x:v>0</x:v>
      </x:c>
      <x:c r="M446" s="88"/>
      <x:c r="N446" s="91" t="n">
        <x:v>6</x:v>
      </x:c>
      <x:c r="O446" s="92" t="b">
        <x:v>0</x:v>
      </x:c>
      <x:c r="P446" s="88"/>
    </x:row>
    <x:row r="447">
      <x:c r="A447" s="56" t="str">
        <x:v>steel-beam</x:v>
      </x:c>
      <x:c r="B447" s="56" t="str">
        <x:v>てっていこうせん</x:v>
      </x:c>
      <x:c r="C447" s="56" t="str">
        <x:v>Steel Beam</x:v>
      </x:c>
      <x:c r="D447" s="85" t="str">
        <x:v>はがね</x:v>
      </x:c>
      <x:c r="E447" s="86" t="n">
        <x:v>140</x:v>
      </x:c>
      <x:c r="F447" s="85" t="str">
        <x:v>特殊</x:v>
      </x:c>
      <x:c r="G447" s="85" t="str">
        <x:v>単体対象</x:v>
      </x:c>
      <x:c r="H447" s="87" t="b">
        <x:v>1</x:v>
      </x:c>
      <x:c r="I447" s="88"/>
      <x:c r="J447" s="89"/>
      <x:c r="K447" s="88"/>
      <x:c r="L447" s="90" t="n">
        <x:v>0</x:v>
      </x:c>
      <x:c r="M447" s="88"/>
      <x:c r="N447" s="91" t="n">
        <x:v>91</x:v>
      </x:c>
      <x:c r="O447" s="92" t="b">
        <x:v>0</x:v>
      </x:c>
      <x:c r="P447" s="88"/>
    </x:row>
    <x:row r="448">
      <x:c r="A448" s="56" t="str">
        <x:v>steel-roller</x:v>
      </x:c>
      <x:c r="B448" s="56" t="str">
        <x:v>アイアンローラー</x:v>
      </x:c>
      <x:c r="C448" s="56" t="str">
        <x:v>Steel Roller</x:v>
      </x:c>
      <x:c r="D448" s="85" t="str">
        <x:v>はがね</x:v>
      </x:c>
      <x:c r="E448" s="86" t="n">
        <x:v>130</x:v>
      </x:c>
      <x:c r="F448" s="85" t="str">
        <x:v>物理</x:v>
      </x:c>
      <x:c r="G448" s="85" t="str">
        <x:v>単体対象</x:v>
      </x:c>
      <x:c r="H448" s="87" t="b">
        <x:v>1</x:v>
      </x:c>
      <x:c r="I448" s="88"/>
      <x:c r="J448" s="89"/>
      <x:c r="K448" s="88"/>
      <x:c r="L448" s="90" t="n">
        <x:v>0</x:v>
      </x:c>
      <x:c r="M448" s="88"/>
      <x:c r="N448" s="91" t="n">
        <x:v>64</x:v>
      </x:c>
      <x:c r="O448" s="92" t="b">
        <x:v>0</x:v>
      </x:c>
      <x:c r="P448" s="88"/>
    </x:row>
    <x:row r="449">
      <x:c r="A449" s="56" t="str">
        <x:v>steel-wing</x:v>
      </x:c>
      <x:c r="B449" s="56" t="str">
        <x:v>はがねのつばさ</x:v>
      </x:c>
      <x:c r="C449" s="56" t="str">
        <x:v>Steel Wing</x:v>
      </x:c>
      <x:c r="D449" s="85" t="str">
        <x:v>はがね</x:v>
      </x:c>
      <x:c r="E449" s="86" t="n">
        <x:v>70</x:v>
      </x:c>
      <x:c r="F449" s="85" t="str">
        <x:v>物理</x:v>
      </x:c>
      <x:c r="G449" s="85" t="str">
        <x:v>単体対象</x:v>
      </x:c>
      <x:c r="H449" s="87" t="b">
        <x:v>1</x:v>
      </x:c>
      <x:c r="I449" s="88"/>
      <x:c r="J449" s="89"/>
      <x:c r="K449" s="88"/>
      <x:c r="L449" s="90" t="n">
        <x:v>0</x:v>
      </x:c>
      <x:c r="M449" s="88"/>
      <x:c r="N449" s="91" t="n">
        <x:v>123</x:v>
      </x:c>
      <x:c r="O449" s="92" t="b">
        <x:v>0</x:v>
      </x:c>
      <x:c r="P449" s="88"/>
    </x:row>
    <x:row r="450">
      <x:c r="A450" s="56" t="str">
        <x:v>stomp</x:v>
      </x:c>
      <x:c r="B450" s="56" t="str">
        <x:v>ふみつけ</x:v>
      </x:c>
      <x:c r="C450" s="56" t="str">
        <x:v>Stomp</x:v>
      </x:c>
      <x:c r="D450" s="85" t="str">
        <x:v>ノーマル</x:v>
      </x:c>
      <x:c r="E450" s="86" t="n">
        <x:v>65</x:v>
      </x:c>
      <x:c r="F450" s="85" t="str">
        <x:v>物理</x:v>
      </x:c>
      <x:c r="G450" s="85" t="str">
        <x:v>単体対象</x:v>
      </x:c>
      <x:c r="H450" s="87" t="b">
        <x:v>1</x:v>
      </x:c>
      <x:c r="I450" s="88"/>
      <x:c r="J450" s="89"/>
      <x:c r="K450" s="88"/>
      <x:c r="L450" s="90" t="n">
        <x:v>0</x:v>
      </x:c>
      <x:c r="M450" s="88"/>
      <x:c r="N450" s="91" t="n">
        <x:v>71</x:v>
      </x:c>
      <x:c r="O450" s="92" t="b">
        <x:v>0</x:v>
      </x:c>
      <x:c r="P450" s="88"/>
    </x:row>
    <x:row r="451">
      <x:c r="A451" s="56" t="str">
        <x:v>stomping-tantrum</x:v>
      </x:c>
      <x:c r="B451" s="56" t="str">
        <x:v>じだんだ</x:v>
      </x:c>
      <x:c r="C451" s="56" t="str">
        <x:v>Stomping Tantrum</x:v>
      </x:c>
      <x:c r="D451" s="85" t="str">
        <x:v>じめん</x:v>
      </x:c>
      <x:c r="E451" s="86" t="n">
        <x:v>75</x:v>
      </x:c>
      <x:c r="F451" s="85" t="str">
        <x:v>物理</x:v>
      </x:c>
      <x:c r="G451" s="85" t="str">
        <x:v>単体対象</x:v>
      </x:c>
      <x:c r="H451" s="87" t="b">
        <x:v>1</x:v>
      </x:c>
      <x:c r="I451" s="88"/>
      <x:c r="J451" s="89"/>
      <x:c r="K451" s="88"/>
      <x:c r="L451" s="90" t="n">
        <x:v>0</x:v>
      </x:c>
      <x:c r="M451" s="88"/>
      <x:c r="N451" s="91" t="n">
        <x:v>326</x:v>
      </x:c>
      <x:c r="O451" s="92" t="b">
        <x:v>0</x:v>
      </x:c>
      <x:c r="P451" s="88"/>
    </x:row>
    <x:row r="452">
      <x:c r="A452" s="56" t="str">
        <x:v>stone-axe</x:v>
      </x:c>
      <x:c r="B452" s="56" t="str">
        <x:v>がんせきアックス</x:v>
      </x:c>
      <x:c r="C452" s="56" t="str">
        <x:v>Stone Axe</x:v>
      </x:c>
      <x:c r="D452" s="85" t="str">
        <x:v>いわ</x:v>
      </x:c>
      <x:c r="E452" s="86" t="n">
        <x:v>65</x:v>
      </x:c>
      <x:c r="F452" s="85" t="str">
        <x:v>物理</x:v>
      </x:c>
      <x:c r="G452" s="85" t="str">
        <x:v>単体対象</x:v>
      </x:c>
      <x:c r="H452" s="87" t="b">
        <x:v>1</x:v>
      </x:c>
      <x:c r="I452" s="88"/>
      <x:c r="J452" s="89"/>
      <x:c r="K452" s="88"/>
      <x:c r="L452" s="90" t="n">
        <x:v>0</x:v>
      </x:c>
      <x:c r="M452" s="88"/>
      <x:c r="N452" s="91" t="n">
        <x:v>1</x:v>
      </x:c>
      <x:c r="O452" s="92" t="b">
        <x:v>0</x:v>
      </x:c>
      <x:c r="P452" s="88"/>
    </x:row>
    <x:row r="453">
      <x:c r="A453" s="56" t="str">
        <x:v>stone-edge</x:v>
      </x:c>
      <x:c r="B453" s="56" t="str">
        <x:v>ストーンエッジ</x:v>
      </x:c>
      <x:c r="C453" s="56" t="str">
        <x:v>Stone Edge</x:v>
      </x:c>
      <x:c r="D453" s="85" t="str">
        <x:v>いわ</x:v>
      </x:c>
      <x:c r="E453" s="86" t="n">
        <x:v>100</x:v>
      </x:c>
      <x:c r="F453" s="85" t="str">
        <x:v>物理</x:v>
      </x:c>
      <x:c r="G453" s="85" t="str">
        <x:v>単体対象</x:v>
      </x:c>
      <x:c r="H453" s="87" t="b">
        <x:v>1</x:v>
      </x:c>
      <x:c r="I453" s="88"/>
      <x:c r="J453" s="89"/>
      <x:c r="K453" s="88"/>
      <x:c r="L453" s="90" t="n">
        <x:v>0</x:v>
      </x:c>
      <x:c r="M453" s="88"/>
      <x:c r="N453" s="91" t="n">
        <x:v>314</x:v>
      </x:c>
      <x:c r="O453" s="92" t="b">
        <x:v>0</x:v>
      </x:c>
      <x:c r="P453" s="88"/>
    </x:row>
    <x:row r="454">
      <x:c r="A454" s="56" t="str">
        <x:v>stored-power</x:v>
      </x:c>
      <x:c r="B454" s="56" t="str">
        <x:v>アシストパワー</x:v>
      </x:c>
      <x:c r="C454" s="56" t="str">
        <x:v>Stored Power</x:v>
      </x:c>
      <x:c r="D454" s="85" t="str">
        <x:v>エスパー</x:v>
      </x:c>
      <x:c r="E454" s="86" t="n">
        <x:v>20</x:v>
      </x:c>
      <x:c r="F454" s="85" t="str">
        <x:v>特殊</x:v>
      </x:c>
      <x:c r="G454" s="85" t="str">
        <x:v>単体対象</x:v>
      </x:c>
      <x:c r="H454" s="87" t="b">
        <x:v>1</x:v>
      </x:c>
      <x:c r="I454" s="88"/>
      <x:c r="J454" s="89"/>
      <x:c r="K454" s="88"/>
      <x:c r="L454" s="90" t="n">
        <x:v>0</x:v>
      </x:c>
      <x:c r="M454" s="88"/>
      <x:c r="N454" s="91" t="n">
        <x:v>183</x:v>
      </x:c>
      <x:c r="O454" s="92" t="b">
        <x:v>0</x:v>
      </x:c>
      <x:c r="P454" s="88"/>
    </x:row>
    <x:row r="455">
      <x:c r="A455" s="56" t="str">
        <x:v>storm-throw</x:v>
      </x:c>
      <x:c r="B455" s="56" t="str">
        <x:v>やまあらし</x:v>
      </x:c>
      <x:c r="C455" s="56" t="str">
        <x:v>Storm Throw</x:v>
      </x:c>
      <x:c r="D455" s="85" t="str">
        <x:v>かくとう</x:v>
      </x:c>
      <x:c r="E455" s="86" t="n">
        <x:v>60</x:v>
      </x:c>
      <x:c r="F455" s="85" t="str">
        <x:v>物理</x:v>
      </x:c>
      <x:c r="G455" s="85" t="str">
        <x:v>単体対象</x:v>
      </x:c>
      <x:c r="H455" s="87" t="b">
        <x:v>1</x:v>
      </x:c>
      <x:c r="I455" s="88"/>
      <x:c r="J455" s="89"/>
      <x:c r="K455" s="88"/>
      <x:c r="L455" s="90" t="n">
        <x:v>0</x:v>
      </x:c>
      <x:c r="M455" s="88"/>
      <x:c r="N455" s="91" t="n">
        <x:v>8</x:v>
      </x:c>
      <x:c r="O455" s="92" t="b">
        <x:v>0</x:v>
      </x:c>
      <x:c r="P455" s="88"/>
    </x:row>
    <x:row r="456">
      <x:c r="A456" s="56" t="str">
        <x:v>strange-steam</x:v>
      </x:c>
      <x:c r="B456" s="56" t="str">
        <x:v>ワンダースチーム</x:v>
      </x:c>
      <x:c r="C456" s="56" t="str">
        <x:v>Strange Steam</x:v>
      </x:c>
      <x:c r="D456" s="85" t="str">
        <x:v>フェアリー</x:v>
      </x:c>
      <x:c r="E456" s="86" t="n">
        <x:v>90</x:v>
      </x:c>
      <x:c r="F456" s="85" t="str">
        <x:v>特殊</x:v>
      </x:c>
      <x:c r="G456" s="85" t="str">
        <x:v>単体対象</x:v>
      </x:c>
      <x:c r="H456" s="87" t="b">
        <x:v>1</x:v>
      </x:c>
      <x:c r="I456" s="88"/>
      <x:c r="J456" s="89"/>
      <x:c r="K456" s="88"/>
      <x:c r="L456" s="90" t="n">
        <x:v>0</x:v>
      </x:c>
      <x:c r="M456" s="88"/>
      <x:c r="N456" s="91" t="n">
        <x:v>1</x:v>
      </x:c>
      <x:c r="O456" s="92" t="b">
        <x:v>0</x:v>
      </x:c>
      <x:c r="P456" s="88"/>
    </x:row>
    <x:row r="457">
      <x:c r="A457" s="56" t="str">
        <x:v>strength</x:v>
      </x:c>
      <x:c r="B457" s="56" t="str">
        <x:v>かいりき</x:v>
      </x:c>
      <x:c r="C457" s="56" t="str">
        <x:v>Strength</x:v>
      </x:c>
      <x:c r="D457" s="85" t="str">
        <x:v>ノーマル</x:v>
      </x:c>
      <x:c r="E457" s="86" t="n">
        <x:v>80</x:v>
      </x:c>
      <x:c r="F457" s="85" t="str">
        <x:v>物理</x:v>
      </x:c>
      <x:c r="G457" s="85" t="str">
        <x:v>単体対象</x:v>
      </x:c>
      <x:c r="H457" s="87" t="b">
        <x:v>1</x:v>
      </x:c>
      <x:c r="I457" s="88"/>
      <x:c r="J457" s="89"/>
      <x:c r="K457" s="88"/>
      <x:c r="L457" s="90" t="n">
        <x:v>0</x:v>
      </x:c>
      <x:c r="M457" s="88"/>
      <x:c r="N457" s="91" t="n">
        <x:v>406</x:v>
      </x:c>
      <x:c r="O457" s="92" t="b">
        <x:v>0</x:v>
      </x:c>
      <x:c r="P457" s="88"/>
    </x:row>
    <x:row r="458">
      <x:c r="A458" s="56" t="str">
        <x:v>struggle-bug</x:v>
      </x:c>
      <x:c r="B458" s="56" t="str">
        <x:v>むしのていこう</x:v>
      </x:c>
      <x:c r="C458" s="56" t="str">
        <x:v>Struggle Bug</x:v>
      </x:c>
      <x:c r="D458" s="85" t="str">
        <x:v>むし</x:v>
      </x:c>
      <x:c r="E458" s="86" t="n">
        <x:v>50</x:v>
      </x:c>
      <x:c r="F458" s="85" t="str">
        <x:v>特殊</x:v>
      </x:c>
      <x:c r="G458" s="85" t="str">
        <x:v>複数対象</x:v>
      </x:c>
      <x:c r="H458" s="87" t="b">
        <x:v>1</x:v>
      </x:c>
      <x:c r="I458" s="88"/>
      <x:c r="J458" s="89"/>
      <x:c r="K458" s="88"/>
      <x:c r="L458" s="90" t="n">
        <x:v>0</x:v>
      </x:c>
      <x:c r="M458" s="88"/>
      <x:c r="N458" s="91" t="n">
        <x:v>95</x:v>
      </x:c>
      <x:c r="O458" s="92" t="b">
        <x:v>1</x:v>
      </x:c>
      <x:c r="P458" s="88"/>
    </x:row>
    <x:row r="459">
      <x:c r="A459" s="56" t="str">
        <x:v>submission</x:v>
      </x:c>
      <x:c r="B459" s="56" t="str">
        <x:v>じごくぐるま</x:v>
      </x:c>
      <x:c r="C459" s="56" t="str">
        <x:v>Submission</x:v>
      </x:c>
      <x:c r="D459" s="85" t="str">
        <x:v>かくとう</x:v>
      </x:c>
      <x:c r="E459" s="86" t="n">
        <x:v>80</x:v>
      </x:c>
      <x:c r="F459" s="85" t="str">
        <x:v>物理</x:v>
      </x:c>
      <x:c r="G459" s="85" t="str">
        <x:v>単体対象</x:v>
      </x:c>
      <x:c r="H459" s="87" t="b">
        <x:v>1</x:v>
      </x:c>
      <x:c r="I459" s="88"/>
      <x:c r="J459" s="89"/>
      <x:c r="K459" s="88"/>
      <x:c r="L459" s="90" t="n">
        <x:v>0</x:v>
      </x:c>
      <x:c r="M459" s="88"/>
      <x:c r="N459" s="91" t="n">
        <x:v>61</x:v>
      </x:c>
      <x:c r="O459" s="92" t="b">
        <x:v>0</x:v>
      </x:c>
      <x:c r="P459" s="88"/>
    </x:row>
    <x:row r="460">
      <x:c r="A460" s="56" t="str">
        <x:v>sucker-punch</x:v>
      </x:c>
      <x:c r="B460" s="56" t="str">
        <x:v>ふいうち</x:v>
      </x:c>
      <x:c r="C460" s="56" t="str">
        <x:v>Sucker Punch</x:v>
      </x:c>
      <x:c r="D460" s="85" t="str">
        <x:v>あく</x:v>
      </x:c>
      <x:c r="E460" s="86" t="n">
        <x:v>70</x:v>
      </x:c>
      <x:c r="F460" s="85" t="str">
        <x:v>物理</x:v>
      </x:c>
      <x:c r="G460" s="85" t="str">
        <x:v>単体対象</x:v>
      </x:c>
      <x:c r="H460" s="87" t="b">
        <x:v>1</x:v>
      </x:c>
      <x:c r="I460" s="88"/>
      <x:c r="J460" s="89"/>
      <x:c r="K460" s="88"/>
      <x:c r="L460" s="90" t="n">
        <x:v>1</x:v>
      </x:c>
      <x:c r="M460" s="88"/>
      <x:c r="N460" s="91" t="n">
        <x:v>182</x:v>
      </x:c>
      <x:c r="O460" s="92" t="b">
        <x:v>0</x:v>
      </x:c>
      <x:c r="P460" s="88"/>
    </x:row>
    <x:row r="461">
      <x:c r="A461" s="56" t="str">
        <x:v>sunsteel-strike</x:v>
      </x:c>
      <x:c r="B461" s="56" t="str">
        <x:v>メテオドライブ</x:v>
      </x:c>
      <x:c r="C461" s="56" t="str">
        <x:v>Sunsteel Strike</x:v>
      </x:c>
      <x:c r="D461" s="85" t="str">
        <x:v>はがね</x:v>
      </x:c>
      <x:c r="E461" s="86" t="n">
        <x:v>100</x:v>
      </x:c>
      <x:c r="F461" s="85" t="str">
        <x:v>物理</x:v>
      </x:c>
      <x:c r="G461" s="85" t="str">
        <x:v>単体対象</x:v>
      </x:c>
      <x:c r="H461" s="87" t="b">
        <x:v>1</x:v>
      </x:c>
      <x:c r="I461" s="88"/>
      <x:c r="J461" s="89"/>
      <x:c r="K461" s="88"/>
      <x:c r="L461" s="90" t="n">
        <x:v>0</x:v>
      </x:c>
      <x:c r="M461" s="88"/>
      <x:c r="N461" s="91" t="n">
        <x:v>1</x:v>
      </x:c>
      <x:c r="O461" s="92" t="b">
        <x:v>0</x:v>
      </x:c>
      <x:c r="P461" s="88"/>
    </x:row>
    <x:row r="462">
      <x:c r="A462" s="56" t="str">
        <x:v>supercell-slam</x:v>
      </x:c>
      <x:c r="B462" s="56" t="str">
        <x:v>サンダーダイブ</x:v>
      </x:c>
      <x:c r="C462" s="56" t="str">
        <x:v>Supercell Slam</x:v>
      </x:c>
      <x:c r="D462" s="85" t="str">
        <x:v>でんき</x:v>
      </x:c>
      <x:c r="E462" s="86" t="n">
        <x:v>100</x:v>
      </x:c>
      <x:c r="F462" s="85" t="str">
        <x:v>物理</x:v>
      </x:c>
      <x:c r="G462" s="85" t="str">
        <x:v>単体対象</x:v>
      </x:c>
      <x:c r="H462" s="87" t="b">
        <x:v>1</x:v>
      </x:c>
      <x:c r="I462" s="88"/>
      <x:c r="J462" s="89"/>
      <x:c r="K462" s="88"/>
      <x:c r="L462" s="90" t="n">
        <x:v>0</x:v>
      </x:c>
      <x:c r="M462" s="88"/>
      <x:c r="N462" s="91" t="n">
        <x:v>50</x:v>
      </x:c>
      <x:c r="O462" s="92" t="b">
        <x:v>0</x:v>
      </x:c>
      <x:c r="P462" s="88"/>
    </x:row>
    <x:row r="463">
      <x:c r="A463" s="56" t="str">
        <x:v>superpower</x:v>
      </x:c>
      <x:c r="B463" s="56" t="str">
        <x:v>ばかぢから</x:v>
      </x:c>
      <x:c r="C463" s="56" t="str">
        <x:v>Superpower</x:v>
      </x:c>
      <x:c r="D463" s="85" t="str">
        <x:v>かくとう</x:v>
      </x:c>
      <x:c r="E463" s="86" t="n">
        <x:v>120</x:v>
      </x:c>
      <x:c r="F463" s="85" t="str">
        <x:v>物理</x:v>
      </x:c>
      <x:c r="G463" s="85" t="str">
        <x:v>単体対象</x:v>
      </x:c>
      <x:c r="H463" s="87" t="b">
        <x:v>1</x:v>
      </x:c>
      <x:c r="I463" s="88"/>
      <x:c r="J463" s="89"/>
      <x:c r="K463" s="88"/>
      <x:c r="L463" s="90" t="n">
        <x:v>0</x:v>
      </x:c>
      <x:c r="M463" s="88"/>
      <x:c r="N463" s="91" t="n">
        <x:v>227</x:v>
      </x:c>
      <x:c r="O463" s="92" t="b">
        <x:v>0</x:v>
      </x:c>
      <x:c r="P463" s="88"/>
    </x:row>
    <x:row r="464">
      <x:c r="A464" s="56" t="str">
        <x:v>surf</x:v>
      </x:c>
      <x:c r="B464" s="56" t="str">
        <x:v>なみのり</x:v>
      </x:c>
      <x:c r="C464" s="56" t="str">
        <x:v>Surf</x:v>
      </x:c>
      <x:c r="D464" s="85" t="str">
        <x:v>みず</x:v>
      </x:c>
      <x:c r="E464" s="86" t="n">
        <x:v>90</x:v>
      </x:c>
      <x:c r="F464" s="85" t="str">
        <x:v>特殊</x:v>
      </x:c>
      <x:c r="G464" s="85" t="str">
        <x:v>複数対象</x:v>
      </x:c>
      <x:c r="H464" s="87" t="b">
        <x:v>1</x:v>
      </x:c>
      <x:c r="I464" s="88"/>
      <x:c r="J464" s="89"/>
      <x:c r="K464" s="88"/>
      <x:c r="L464" s="90" t="n">
        <x:v>0</x:v>
      </x:c>
      <x:c r="M464" s="88"/>
      <x:c r="N464" s="91" t="n">
        <x:v>290</x:v>
      </x:c>
      <x:c r="O464" s="92" t="b">
        <x:v>1</x:v>
      </x:c>
      <x:c r="P464" s="88"/>
    </x:row>
    <x:row r="465">
      <x:c r="A465" s="56" t="str">
        <x:v>surging-strikes</x:v>
      </x:c>
      <x:c r="B465" s="56" t="str">
        <x:v>すいりゅうれんだ</x:v>
      </x:c>
      <x:c r="C465" s="56" t="str">
        <x:v>Surging Strikes</x:v>
      </x:c>
      <x:c r="D465" s="85" t="str">
        <x:v>みず</x:v>
      </x:c>
      <x:c r="E465" s="86" t="n">
        <x:v>25</x:v>
      </x:c>
      <x:c r="F465" s="85" t="str">
        <x:v>物理</x:v>
      </x:c>
      <x:c r="G465" s="85" t="str">
        <x:v>単体対象</x:v>
      </x:c>
      <x:c r="H465" s="87" t="b">
        <x:v>1</x:v>
      </x:c>
      <x:c r="I465" s="88"/>
      <x:c r="J465" s="89"/>
      <x:c r="K465" s="88"/>
      <x:c r="L465" s="90" t="n">
        <x:v>0</x:v>
      </x:c>
      <x:c r="M465" s="88"/>
      <x:c r="N465" s="91" t="n">
        <x:v>1</x:v>
      </x:c>
      <x:c r="O465" s="92" t="b">
        <x:v>0</x:v>
      </x:c>
      <x:c r="P465" s="88"/>
    </x:row>
    <x:row r="466">
      <x:c r="A466" s="56" t="str">
        <x:v>swift</x:v>
      </x:c>
      <x:c r="B466" s="56" t="str">
        <x:v>スピードスター</x:v>
      </x:c>
      <x:c r="C466" s="56" t="str">
        <x:v>Swift</x:v>
      </x:c>
      <x:c r="D466" s="85" t="str">
        <x:v>ノーマル</x:v>
      </x:c>
      <x:c r="E466" s="86" t="n">
        <x:v>60</x:v>
      </x:c>
      <x:c r="F466" s="85" t="str">
        <x:v>特殊</x:v>
      </x:c>
      <x:c r="G466" s="85" t="str">
        <x:v>複数対象</x:v>
      </x:c>
      <x:c r="H466" s="87" t="b">
        <x:v>1</x:v>
      </x:c>
      <x:c r="I466" s="88"/>
      <x:c r="J466" s="89"/>
      <x:c r="K466" s="88"/>
      <x:c r="L466" s="90" t="n">
        <x:v>0</x:v>
      </x:c>
      <x:c r="M466" s="88"/>
      <x:c r="N466" s="91" t="n">
        <x:v>602</x:v>
      </x:c>
      <x:c r="O466" s="92" t="b">
        <x:v>1</x:v>
      </x:c>
      <x:c r="P466" s="88"/>
    </x:row>
    <x:row r="467">
      <x:c r="A467" s="56" t="str">
        <x:v>synchronoise</x:v>
      </x:c>
      <x:c r="B467" s="56" t="str">
        <x:v>シンクロノイズ</x:v>
      </x:c>
      <x:c r="C467" s="56" t="str">
        <x:v>Synchronoise</x:v>
      </x:c>
      <x:c r="D467" s="85" t="str">
        <x:v>エスパー</x:v>
      </x:c>
      <x:c r="E467" s="86" t="n">
        <x:v>120</x:v>
      </x:c>
      <x:c r="F467" s="85" t="str">
        <x:v>特殊</x:v>
      </x:c>
      <x:c r="G467" s="85" t="str">
        <x:v>複数対象</x:v>
      </x:c>
      <x:c r="H467" s="87" t="b">
        <x:v>1</x:v>
      </x:c>
      <x:c r="I467" s="88"/>
      <x:c r="J467" s="89"/>
      <x:c r="K467" s="88"/>
      <x:c r="L467" s="90" t="n">
        <x:v>0</x:v>
      </x:c>
      <x:c r="M467" s="88"/>
      <x:c r="N467" s="91" t="n">
        <x:v>22</x:v>
      </x:c>
      <x:c r="O467" s="92" t="b">
        <x:v>1</x:v>
      </x:c>
      <x:c r="P467" s="88"/>
    </x:row>
    <x:row r="468">
      <x:c r="A468" s="56" t="str">
        <x:v>syrup-bomb</x:v>
      </x:c>
      <x:c r="B468" s="56" t="str">
        <x:v>みずあめボム</x:v>
      </x:c>
      <x:c r="C468" s="56" t="str">
        <x:v>Syrup Bomb</x:v>
      </x:c>
      <x:c r="D468" s="85" t="str">
        <x:v>くさ</x:v>
      </x:c>
      <x:c r="E468" s="86" t="n">
        <x:v>60</x:v>
      </x:c>
      <x:c r="F468" s="85" t="str">
        <x:v>特殊</x:v>
      </x:c>
      <x:c r="G468" s="85" t="str">
        <x:v>単体対象</x:v>
      </x:c>
      <x:c r="H468" s="87" t="b">
        <x:v>1</x:v>
      </x:c>
      <x:c r="I468" s="88"/>
      <x:c r="J468" s="89"/>
      <x:c r="K468" s="88"/>
      <x:c r="L468" s="90" t="n">
        <x:v>0</x:v>
      </x:c>
      <x:c r="M468" s="88"/>
      <x:c r="N468" s="91" t="n">
        <x:v>2</x:v>
      </x:c>
      <x:c r="O468" s="92" t="b">
        <x:v>0</x:v>
      </x:c>
      <x:c r="P468" s="88"/>
    </x:row>
    <x:row r="469">
      <x:c r="A469" s="56" t="str">
        <x:v>tachyon-cutter</x:v>
      </x:c>
      <x:c r="B469" s="56" t="str">
        <x:v>タキオンカッター</x:v>
      </x:c>
      <x:c r="C469" s="56" t="str">
        <x:v>Tachyon Cutter</x:v>
      </x:c>
      <x:c r="D469" s="85" t="str">
        <x:v>はがね</x:v>
      </x:c>
      <x:c r="E469" s="86" t="n">
        <x:v>50</x:v>
      </x:c>
      <x:c r="F469" s="85" t="str">
        <x:v>特殊</x:v>
      </x:c>
      <x:c r="G469" s="85" t="str">
        <x:v>単体対象</x:v>
      </x:c>
      <x:c r="H469" s="87" t="b">
        <x:v>1</x:v>
      </x:c>
      <x:c r="I469" s="88"/>
      <x:c r="J469" s="89"/>
      <x:c r="K469" s="88"/>
      <x:c r="L469" s="90" t="n">
        <x:v>0</x:v>
      </x:c>
      <x:c r="M469" s="88"/>
      <x:c r="N469" s="91" t="n">
        <x:v>1</x:v>
      </x:c>
      <x:c r="O469" s="92" t="b">
        <x:v>0</x:v>
      </x:c>
      <x:c r="P469" s="88"/>
    </x:row>
    <x:row r="470">
      <x:c r="A470" s="56" t="str">
        <x:v>tackle</x:v>
      </x:c>
      <x:c r="B470" s="56" t="str">
        <x:v>たいあたり</x:v>
      </x:c>
      <x:c r="C470" s="56" t="str">
        <x:v>Tackle</x:v>
      </x:c>
      <x:c r="D470" s="85" t="str">
        <x:v>ノーマル</x:v>
      </x:c>
      <x:c r="E470" s="86" t="n">
        <x:v>40</x:v>
      </x:c>
      <x:c r="F470" s="85" t="str">
        <x:v>物理</x:v>
      </x:c>
      <x:c r="G470" s="85" t="str">
        <x:v>単体対象</x:v>
      </x:c>
      <x:c r="H470" s="87" t="b">
        <x:v>1</x:v>
      </x:c>
      <x:c r="I470" s="88"/>
      <x:c r="J470" s="89"/>
      <x:c r="K470" s="88"/>
      <x:c r="L470" s="90" t="n">
        <x:v>0</x:v>
      </x:c>
      <x:c r="M470" s="88"/>
      <x:c r="N470" s="91" t="n">
        <x:v>479</x:v>
      </x:c>
      <x:c r="O470" s="92" t="b">
        <x:v>0</x:v>
      </x:c>
      <x:c r="P470" s="88"/>
    </x:row>
    <x:row r="471">
      <x:c r="A471" s="56" t="str">
        <x:v>tail-slap</x:v>
      </x:c>
      <x:c r="B471" s="56" t="str">
        <x:v>スイープビンタ</x:v>
      </x:c>
      <x:c r="C471" s="56" t="str">
        <x:v>Tail Slap</x:v>
      </x:c>
      <x:c r="D471" s="85" t="str">
        <x:v>ノーマル</x:v>
      </x:c>
      <x:c r="E471" s="86" t="n">
        <x:v>25</x:v>
      </x:c>
      <x:c r="F471" s="85" t="str">
        <x:v>物理</x:v>
      </x:c>
      <x:c r="G471" s="85" t="str">
        <x:v>単体対象</x:v>
      </x:c>
      <x:c r="H471" s="87" t="b">
        <x:v>1</x:v>
      </x:c>
      <x:c r="I471" s="88"/>
      <x:c r="J471" s="89"/>
      <x:c r="K471" s="88"/>
      <x:c r="L471" s="90" t="n">
        <x:v>0</x:v>
      </x:c>
      <x:c r="M471" s="88"/>
      <x:c r="N471" s="91" t="n">
        <x:v>28</x:v>
      </x:c>
      <x:c r="O471" s="92" t="b">
        <x:v>0</x:v>
      </x:c>
      <x:c r="P471" s="88"/>
    </x:row>
    <x:row r="472">
      <x:c r="A472" s="56" t="str">
        <x:v>take-down</x:v>
      </x:c>
      <x:c r="B472" s="56" t="str">
        <x:v>とっしん</x:v>
      </x:c>
      <x:c r="C472" s="56" t="str">
        <x:v>Take Down</x:v>
      </x:c>
      <x:c r="D472" s="85" t="str">
        <x:v>ノーマル</x:v>
      </x:c>
      <x:c r="E472" s="86" t="n">
        <x:v>90</x:v>
      </x:c>
      <x:c r="F472" s="85" t="str">
        <x:v>物理</x:v>
      </x:c>
      <x:c r="G472" s="85" t="str">
        <x:v>単体対象</x:v>
      </x:c>
      <x:c r="H472" s="87" t="b">
        <x:v>1</x:v>
      </x:c>
      <x:c r="I472" s="88"/>
      <x:c r="J472" s="89"/>
      <x:c r="K472" s="88"/>
      <x:c r="L472" s="90" t="n">
        <x:v>0</x:v>
      </x:c>
      <x:c r="M472" s="88"/>
      <x:c r="N472" s="91" t="n">
        <x:v>848</x:v>
      </x:c>
      <x:c r="O472" s="92" t="b">
        <x:v>0</x:v>
      </x:c>
      <x:c r="P472" s="88"/>
    </x:row>
    <x:row r="473">
      <x:c r="A473" s="56" t="str">
        <x:v>techno-blast</x:v>
      </x:c>
      <x:c r="B473" s="56" t="str">
        <x:v>テクノバスター</x:v>
      </x:c>
      <x:c r="C473" s="56" t="str">
        <x:v>Techno Blast</x:v>
      </x:c>
      <x:c r="D473" s="85" t="str">
        <x:v>ノーマル</x:v>
      </x:c>
      <x:c r="E473" s="86" t="n">
        <x:v>120</x:v>
      </x:c>
      <x:c r="F473" s="85" t="str">
        <x:v>特殊</x:v>
      </x:c>
      <x:c r="G473" s="85" t="str">
        <x:v>単体対象</x:v>
      </x:c>
      <x:c r="H473" s="87" t="b">
        <x:v>1</x:v>
      </x:c>
      <x:c r="I473" s="88"/>
      <x:c r="J473" s="89"/>
      <x:c r="K473" s="88"/>
      <x:c r="L473" s="90" t="n">
        <x:v>0</x:v>
      </x:c>
      <x:c r="M473" s="88"/>
      <x:c r="N473" s="91" t="n">
        <x:v>1</x:v>
      </x:c>
      <x:c r="O473" s="92" t="b">
        <x:v>0</x:v>
      </x:c>
      <x:c r="P473" s="88"/>
    </x:row>
    <x:row r="474">
      <x:c r="A474" s="56" t="str">
        <x:v>temper-flare</x:v>
      </x:c>
      <x:c r="B474" s="56" t="str">
        <x:v>やけっぱち</x:v>
      </x:c>
      <x:c r="C474" s="56" t="str">
        <x:v>Temper Flare</x:v>
      </x:c>
      <x:c r="D474" s="85" t="str">
        <x:v>ほのお</x:v>
      </x:c>
      <x:c r="E474" s="86" t="n">
        <x:v>75</x:v>
      </x:c>
      <x:c r="F474" s="85" t="str">
        <x:v>物理</x:v>
      </x:c>
      <x:c r="G474" s="85" t="str">
        <x:v>単体対象</x:v>
      </x:c>
      <x:c r="H474" s="87" t="b">
        <x:v>1</x:v>
      </x:c>
      <x:c r="I474" s="88"/>
      <x:c r="J474" s="89"/>
      <x:c r="K474" s="88"/>
      <x:c r="L474" s="90" t="n">
        <x:v>0</x:v>
      </x:c>
      <x:c r="M474" s="88"/>
      <x:c r="N474" s="91" t="n">
        <x:v>83</x:v>
      </x:c>
      <x:c r="O474" s="92" t="b">
        <x:v>0</x:v>
      </x:c>
      <x:c r="P474" s="88"/>
    </x:row>
    <x:row r="475">
      <x:c r="A475" s="56" t="str">
        <x:v>tera-blast</x:v>
      </x:c>
      <x:c r="B475" s="56" t="str">
        <x:v>テラバースト</x:v>
      </x:c>
      <x:c r="C475" s="56" t="str">
        <x:v>Tera Blast</x:v>
      </x:c>
      <x:c r="D475" s="85" t="str">
        <x:v>ノーマル</x:v>
      </x:c>
      <x:c r="E475" s="86" t="n">
        <x:v>80</x:v>
      </x:c>
      <x:c r="F475" s="85" t="str">
        <x:v>特殊</x:v>
      </x:c>
      <x:c r="G475" s="85" t="str">
        <x:v>単体対象</x:v>
      </x:c>
      <x:c r="H475" s="87" t="b">
        <x:v>1</x:v>
      </x:c>
      <x:c r="I475" s="88"/>
      <x:c r="J475" s="89"/>
      <x:c r="K475" s="88"/>
      <x:c r="L475" s="90" t="n">
        <x:v>0</x:v>
      </x:c>
      <x:c r="M475" s="88"/>
      <x:c r="N475" s="91" t="n">
        <x:v>858</x:v>
      </x:c>
      <x:c r="O475" s="92" t="b">
        <x:v>0</x:v>
      </x:c>
      <x:c r="P475" s="88"/>
    </x:row>
    <x:row r="476">
      <x:c r="A476" s="56" t="str">
        <x:v>tera-starstorm</x:v>
      </x:c>
      <x:c r="B476" s="56" t="str">
        <x:v>テラクラスター</x:v>
      </x:c>
      <x:c r="C476" s="56" t="str">
        <x:v>Tera Starstorm</x:v>
      </x:c>
      <x:c r="D476" s="85" t="str">
        <x:v>ノーマル</x:v>
      </x:c>
      <x:c r="E476" s="86" t="n">
        <x:v>120</x:v>
      </x:c>
      <x:c r="F476" s="85" t="str">
        <x:v>特殊</x:v>
      </x:c>
      <x:c r="G476" s="85" t="str">
        <x:v>複数対象</x:v>
      </x:c>
      <x:c r="H476" s="87" t="b">
        <x:v>1</x:v>
      </x:c>
      <x:c r="I476" s="88"/>
      <x:c r="J476" s="89"/>
      <x:c r="K476" s="88"/>
      <x:c r="L476" s="90" t="n">
        <x:v>0</x:v>
      </x:c>
      <x:c r="M476" s="88"/>
      <x:c r="N476" s="91" t="n">
        <x:v>3</x:v>
      </x:c>
      <x:c r="O476" s="92" t="b">
        <x:v>1</x:v>
      </x:c>
      <x:c r="P476" s="88"/>
    </x:row>
    <x:row r="477">
      <x:c r="A477" s="56" t="str">
        <x:v>terrain-pulse</x:v>
      </x:c>
      <x:c r="B477" s="56" t="str">
        <x:v>だいちのはどう</x:v>
      </x:c>
      <x:c r="C477" s="56" t="str">
        <x:v>Terrain Pulse</x:v>
      </x:c>
      <x:c r="D477" s="85" t="str">
        <x:v>ノーマル</x:v>
      </x:c>
      <x:c r="E477" s="86" t="n">
        <x:v>50</x:v>
      </x:c>
      <x:c r="F477" s="85" t="str">
        <x:v>特殊</x:v>
      </x:c>
      <x:c r="G477" s="85" t="str">
        <x:v>単体対象</x:v>
      </x:c>
      <x:c r="H477" s="87" t="b">
        <x:v>1</x:v>
      </x:c>
      <x:c r="I477" s="88"/>
      <x:c r="J477" s="89"/>
      <x:c r="K477" s="88"/>
      <x:c r="L477" s="90" t="n">
        <x:v>0</x:v>
      </x:c>
      <x:c r="M477" s="88"/>
      <x:c r="N477" s="91" t="n">
        <x:v>32</x:v>
      </x:c>
      <x:c r="O477" s="92" t="b">
        <x:v>0</x:v>
      </x:c>
      <x:c r="P477" s="88"/>
    </x:row>
    <x:row r="478">
      <x:c r="A478" s="56" t="str">
        <x:v>thief</x:v>
      </x:c>
      <x:c r="B478" s="56" t="str">
        <x:v>どろぼう</x:v>
      </x:c>
      <x:c r="C478" s="56" t="str">
        <x:v>Thief</x:v>
      </x:c>
      <x:c r="D478" s="85" t="str">
        <x:v>あく</x:v>
      </x:c>
      <x:c r="E478" s="86" t="n">
        <x:v>60</x:v>
      </x:c>
      <x:c r="F478" s="85" t="str">
        <x:v>物理</x:v>
      </x:c>
      <x:c r="G478" s="85" t="str">
        <x:v>単体対象</x:v>
      </x:c>
      <x:c r="H478" s="87" t="b">
        <x:v>1</x:v>
      </x:c>
      <x:c r="I478" s="88"/>
      <x:c r="J478" s="89"/>
      <x:c r="K478" s="88"/>
      <x:c r="L478" s="90" t="n">
        <x:v>0</x:v>
      </x:c>
      <x:c r="M478" s="88"/>
      <x:c r="N478" s="91" t="n">
        <x:v>573</x:v>
      </x:c>
      <x:c r="O478" s="92" t="b">
        <x:v>0</x:v>
      </x:c>
      <x:c r="P478" s="88"/>
    </x:row>
    <x:row r="479">
      <x:c r="A479" s="56" t="str">
        <x:v>thousand-arrows</x:v>
      </x:c>
      <x:c r="B479" s="56" t="str">
        <x:v>サウザンアロー</x:v>
      </x:c>
      <x:c r="C479" s="56" t="str">
        <x:v>Thousand Arrows</x:v>
      </x:c>
      <x:c r="D479" s="85" t="str">
        <x:v>じめん</x:v>
      </x:c>
      <x:c r="E479" s="86" t="n">
        <x:v>90</x:v>
      </x:c>
      <x:c r="F479" s="85" t="str">
        <x:v>物理</x:v>
      </x:c>
      <x:c r="G479" s="85" t="str">
        <x:v>複数対象</x:v>
      </x:c>
      <x:c r="H479" s="87" t="b">
        <x:v>1</x:v>
      </x:c>
      <x:c r="I479" s="88"/>
      <x:c r="J479" s="89"/>
      <x:c r="K479" s="88"/>
      <x:c r="L479" s="90" t="n">
        <x:v>0</x:v>
      </x:c>
      <x:c r="M479" s="88"/>
      <x:c r="N479" s="91" t="n">
        <x:v>5</x:v>
      </x:c>
      <x:c r="O479" s="92" t="b">
        <x:v>1</x:v>
      </x:c>
      <x:c r="P479" s="88"/>
    </x:row>
    <x:row r="480">
      <x:c r="A480" s="56" t="str">
        <x:v>thousand-waves</x:v>
      </x:c>
      <x:c r="B480" s="56" t="str">
        <x:v>サウザンウェーブ</x:v>
      </x:c>
      <x:c r="C480" s="56" t="str">
        <x:v>Thousand Waves</x:v>
      </x:c>
      <x:c r="D480" s="85" t="str">
        <x:v>じめん</x:v>
      </x:c>
      <x:c r="E480" s="86" t="n">
        <x:v>90</x:v>
      </x:c>
      <x:c r="F480" s="85" t="str">
        <x:v>物理</x:v>
      </x:c>
      <x:c r="G480" s="85" t="str">
        <x:v>複数対象</x:v>
      </x:c>
      <x:c r="H480" s="87" t="b">
        <x:v>1</x:v>
      </x:c>
      <x:c r="I480" s="88"/>
      <x:c r="J480" s="89"/>
      <x:c r="K480" s="88"/>
      <x:c r="L480" s="90" t="n">
        <x:v>0</x:v>
      </x:c>
      <x:c r="M480" s="88"/>
      <x:c r="N480" s="91" t="n">
        <x:v>5</x:v>
      </x:c>
      <x:c r="O480" s="92" t="b">
        <x:v>1</x:v>
      </x:c>
      <x:c r="P480" s="88"/>
    </x:row>
    <x:row r="481">
      <x:c r="A481" s="56" t="str">
        <x:v>thrash</x:v>
      </x:c>
      <x:c r="B481" s="56" t="str">
        <x:v>あばれる</x:v>
      </x:c>
      <x:c r="C481" s="56" t="str">
        <x:v>Thrash</x:v>
      </x:c>
      <x:c r="D481" s="85" t="str">
        <x:v>ノーマル</x:v>
      </x:c>
      <x:c r="E481" s="86" t="n">
        <x:v>120</x:v>
      </x:c>
      <x:c r="F481" s="85" t="str">
        <x:v>物理</x:v>
      </x:c>
      <x:c r="G481" s="85" t="str">
        <x:v>単体対象</x:v>
      </x:c>
      <x:c r="H481" s="87" t="b">
        <x:v>1</x:v>
      </x:c>
      <x:c r="I481" s="88"/>
      <x:c r="J481" s="89"/>
      <x:c r="K481" s="88"/>
      <x:c r="L481" s="90" t="n">
        <x:v>0</x:v>
      </x:c>
      <x:c r="M481" s="88"/>
      <x:c r="N481" s="91" t="n">
        <x:v>138</x:v>
      </x:c>
      <x:c r="O481" s="92" t="b">
        <x:v>0</x:v>
      </x:c>
      <x:c r="P481" s="88"/>
    </x:row>
    <x:row r="482">
      <x:c r="A482" s="56" t="str">
        <x:v>throat-chop</x:v>
      </x:c>
      <x:c r="B482" s="56" t="str">
        <x:v>じごくづき</x:v>
      </x:c>
      <x:c r="C482" s="56" t="str">
        <x:v>Throat Chop</x:v>
      </x:c>
      <x:c r="D482" s="85" t="str">
        <x:v>あく</x:v>
      </x:c>
      <x:c r="E482" s="86" t="n">
        <x:v>80</x:v>
      </x:c>
      <x:c r="F482" s="85" t="str">
        <x:v>物理</x:v>
      </x:c>
      <x:c r="G482" s="85" t="str">
        <x:v>単体対象</x:v>
      </x:c>
      <x:c r="H482" s="87" t="b">
        <x:v>1</x:v>
      </x:c>
      <x:c r="I482" s="88"/>
      <x:c r="J482" s="89"/>
      <x:c r="K482" s="88"/>
      <x:c r="L482" s="90" t="n">
        <x:v>0</x:v>
      </x:c>
      <x:c r="M482" s="88"/>
      <x:c r="N482" s="91" t="n">
        <x:v>216</x:v>
      </x:c>
      <x:c r="O482" s="92" t="b">
        <x:v>0</x:v>
      </x:c>
      <x:c r="P482" s="88"/>
    </x:row>
    <x:row r="483">
      <x:c r="A483" s="56" t="str">
        <x:v>thunder</x:v>
      </x:c>
      <x:c r="B483" s="56" t="str">
        <x:v>かみなり</x:v>
      </x:c>
      <x:c r="C483" s="56" t="str">
        <x:v>Thunder</x:v>
      </x:c>
      <x:c r="D483" s="85" t="str">
        <x:v>でんき</x:v>
      </x:c>
      <x:c r="E483" s="86" t="n">
        <x:v>110</x:v>
      </x:c>
      <x:c r="F483" s="85" t="str">
        <x:v>特殊</x:v>
      </x:c>
      <x:c r="G483" s="85" t="str">
        <x:v>単体対象</x:v>
      </x:c>
      <x:c r="H483" s="87" t="b">
        <x:v>1</x:v>
      </x:c>
      <x:c r="I483" s="88"/>
      <x:c r="J483" s="89"/>
      <x:c r="K483" s="88"/>
      <x:c r="L483" s="90" t="n">
        <x:v>0</x:v>
      </x:c>
      <x:c r="M483" s="88"/>
      <x:c r="N483" s="91" t="n">
        <x:v>310</x:v>
      </x:c>
      <x:c r="O483" s="92" t="b">
        <x:v>0</x:v>
      </x:c>
      <x:c r="P483" s="88"/>
    </x:row>
    <x:row r="484">
      <x:c r="A484" s="56" t="str">
        <x:v>thunder-cage</x:v>
      </x:c>
      <x:c r="B484" s="56" t="str">
        <x:v>サンダープリズン</x:v>
      </x:c>
      <x:c r="C484" s="56" t="str">
        <x:v>Thunder Cage</x:v>
      </x:c>
      <x:c r="D484" s="85" t="str">
        <x:v>でんき</x:v>
      </x:c>
      <x:c r="E484" s="86" t="n">
        <x:v>80</x:v>
      </x:c>
      <x:c r="F484" s="85" t="str">
        <x:v>特殊</x:v>
      </x:c>
      <x:c r="G484" s="85" t="str">
        <x:v>単体対象</x:v>
      </x:c>
      <x:c r="H484" s="87" t="b">
        <x:v>1</x:v>
      </x:c>
      <x:c r="I484" s="88"/>
      <x:c r="J484" s="89"/>
      <x:c r="K484" s="88"/>
      <x:c r="L484" s="90" t="n">
        <x:v>0</x:v>
      </x:c>
      <x:c r="M484" s="88"/>
      <x:c r="N484" s="91" t="n">
        <x:v>1</x:v>
      </x:c>
      <x:c r="O484" s="92" t="b">
        <x:v>0</x:v>
      </x:c>
      <x:c r="P484" s="88"/>
    </x:row>
    <x:row r="485">
      <x:c r="A485" s="56" t="str">
        <x:v>thunder-fang</x:v>
      </x:c>
      <x:c r="B485" s="56" t="str">
        <x:v>かみなりのキバ</x:v>
      </x:c>
      <x:c r="C485" s="56" t="str">
        <x:v>Thunder Fang</x:v>
      </x:c>
      <x:c r="D485" s="85" t="str">
        <x:v>でんき</x:v>
      </x:c>
      <x:c r="E485" s="86" t="n">
        <x:v>65</x:v>
      </x:c>
      <x:c r="F485" s="85" t="str">
        <x:v>物理</x:v>
      </x:c>
      <x:c r="G485" s="85" t="str">
        <x:v>単体対象</x:v>
      </x:c>
      <x:c r="H485" s="87" t="b">
        <x:v>1</x:v>
      </x:c>
      <x:c r="I485" s="88"/>
      <x:c r="J485" s="89"/>
      <x:c r="K485" s="88"/>
      <x:c r="L485" s="90" t="n">
        <x:v>0</x:v>
      </x:c>
      <x:c r="M485" s="88"/>
      <x:c r="N485" s="91" t="n">
        <x:v>124</x:v>
      </x:c>
      <x:c r="O485" s="92" t="b">
        <x:v>0</x:v>
      </x:c>
      <x:c r="P485" s="88"/>
    </x:row>
    <x:row r="486">
      <x:c r="A486" s="56" t="str">
        <x:v>thunder-punch</x:v>
      </x:c>
      <x:c r="B486" s="56" t="str">
        <x:v>かみなりパンチ</x:v>
      </x:c>
      <x:c r="C486" s="56" t="str">
        <x:v>Thunder Punch</x:v>
      </x:c>
      <x:c r="D486" s="85" t="str">
        <x:v>でんき</x:v>
      </x:c>
      <x:c r="E486" s="86" t="n">
        <x:v>75</x:v>
      </x:c>
      <x:c r="F486" s="85" t="str">
        <x:v>物理</x:v>
      </x:c>
      <x:c r="G486" s="85" t="str">
        <x:v>単体対象</x:v>
      </x:c>
      <x:c r="H486" s="87" t="b">
        <x:v>1</x:v>
      </x:c>
      <x:c r="I486" s="88"/>
      <x:c r="J486" s="89"/>
      <x:c r="K486" s="88"/>
      <x:c r="L486" s="90" t="n">
        <x:v>0</x:v>
      </x:c>
      <x:c r="M486" s="88"/>
      <x:c r="N486" s="91" t="n">
        <x:v>272</x:v>
      </x:c>
      <x:c r="O486" s="92" t="b">
        <x:v>0</x:v>
      </x:c>
      <x:c r="P486" s="88"/>
    </x:row>
    <x:row r="487">
      <x:c r="A487" s="56" t="str">
        <x:v>thunder-shock</x:v>
      </x:c>
      <x:c r="B487" s="56" t="str">
        <x:v>でんきショック</x:v>
      </x:c>
      <x:c r="C487" s="56" t="str">
        <x:v>Thunder Shock</x:v>
      </x:c>
      <x:c r="D487" s="85" t="str">
        <x:v>でんき</x:v>
      </x:c>
      <x:c r="E487" s="86" t="n">
        <x:v>40</x:v>
      </x:c>
      <x:c r="F487" s="85" t="str">
        <x:v>特殊</x:v>
      </x:c>
      <x:c r="G487" s="85" t="str">
        <x:v>単体対象</x:v>
      </x:c>
      <x:c r="H487" s="87" t="b">
        <x:v>1</x:v>
      </x:c>
      <x:c r="I487" s="88"/>
      <x:c r="J487" s="89"/>
      <x:c r="K487" s="88"/>
      <x:c r="L487" s="90" t="n">
        <x:v>0</x:v>
      </x:c>
      <x:c r="M487" s="88"/>
      <x:c r="N487" s="91" t="n">
        <x:v>89</x:v>
      </x:c>
      <x:c r="O487" s="92" t="b">
        <x:v>0</x:v>
      </x:c>
      <x:c r="P487" s="88"/>
    </x:row>
    <x:row r="488">
      <x:c r="A488" s="56" t="str">
        <x:v>thunderbolt</x:v>
      </x:c>
      <x:c r="B488" s="56" t="str">
        <x:v>１０まんボルト</x:v>
      </x:c>
      <x:c r="C488" s="56" t="str">
        <x:v>Thunderbolt</x:v>
      </x:c>
      <x:c r="D488" s="85" t="str">
        <x:v>でんき</x:v>
      </x:c>
      <x:c r="E488" s="86" t="n">
        <x:v>90</x:v>
      </x:c>
      <x:c r="F488" s="85" t="str">
        <x:v>特殊</x:v>
      </x:c>
      <x:c r="G488" s="85" t="str">
        <x:v>単体対象</x:v>
      </x:c>
      <x:c r="H488" s="87" t="b">
        <x:v>1</x:v>
      </x:c>
      <x:c r="I488" s="88"/>
      <x:c r="J488" s="89"/>
      <x:c r="K488" s="88"/>
      <x:c r="L488" s="90" t="n">
        <x:v>0</x:v>
      </x:c>
      <x:c r="M488" s="88"/>
      <x:c r="N488" s="91" t="n">
        <x:v>351</x:v>
      </x:c>
      <x:c r="O488" s="92" t="b">
        <x:v>0</x:v>
      </x:c>
      <x:c r="P488" s="88"/>
    </x:row>
    <x:row r="489">
      <x:c r="A489" s="56" t="str">
        <x:v>thunderclap</x:v>
      </x:c>
      <x:c r="B489" s="56" t="str">
        <x:v>じんらい</x:v>
      </x:c>
      <x:c r="C489" s="56" t="str">
        <x:v>Thunderclap</x:v>
      </x:c>
      <x:c r="D489" s="85" t="str">
        <x:v>でんき</x:v>
      </x:c>
      <x:c r="E489" s="86" t="n">
        <x:v>70</x:v>
      </x:c>
      <x:c r="F489" s="85" t="str">
        <x:v>特殊</x:v>
      </x:c>
      <x:c r="G489" s="85" t="str">
        <x:v>単体対象</x:v>
      </x:c>
      <x:c r="H489" s="87" t="b">
        <x:v>1</x:v>
      </x:c>
      <x:c r="I489" s="88"/>
      <x:c r="J489" s="89"/>
      <x:c r="K489" s="88"/>
      <x:c r="L489" s="90" t="n">
        <x:v>1</x:v>
      </x:c>
      <x:c r="M489" s="88"/>
      <x:c r="N489" s="91" t="n">
        <x:v>1</x:v>
      </x:c>
      <x:c r="O489" s="92" t="b">
        <x:v>0</x:v>
      </x:c>
      <x:c r="P489" s="88"/>
    </x:row>
    <x:row r="490">
      <x:c r="A490" s="56" t="str">
        <x:v>thunderous-kick</x:v>
      </x:c>
      <x:c r="B490" s="56" t="str">
        <x:v>らいめいげり</x:v>
      </x:c>
      <x:c r="C490" s="56" t="str">
        <x:v>Thunderous Kick</x:v>
      </x:c>
      <x:c r="D490" s="85" t="str">
        <x:v>かくとう</x:v>
      </x:c>
      <x:c r="E490" s="86" t="n">
        <x:v>90</x:v>
      </x:c>
      <x:c r="F490" s="85" t="str">
        <x:v>物理</x:v>
      </x:c>
      <x:c r="G490" s="85" t="str">
        <x:v>単体対象</x:v>
      </x:c>
      <x:c r="H490" s="87" t="b">
        <x:v>1</x:v>
      </x:c>
      <x:c r="I490" s="88"/>
      <x:c r="J490" s="89"/>
      <x:c r="K490" s="88"/>
      <x:c r="L490" s="90" t="n">
        <x:v>0</x:v>
      </x:c>
      <x:c r="M490" s="88"/>
      <x:c r="N490" s="91" t="n">
        <x:v>1</x:v>
      </x:c>
      <x:c r="O490" s="92" t="b">
        <x:v>0</x:v>
      </x:c>
      <x:c r="P490" s="88"/>
    </x:row>
    <x:row r="491">
      <x:c r="A491" s="56" t="str">
        <x:v>torch-song</x:v>
      </x:c>
      <x:c r="B491" s="56" t="str">
        <x:v>フレアソング</x:v>
      </x:c>
      <x:c r="C491" s="56" t="str">
        <x:v>Torch Song</x:v>
      </x:c>
      <x:c r="D491" s="85" t="str">
        <x:v>ほのお</x:v>
      </x:c>
      <x:c r="E491" s="86" t="n">
        <x:v>80</x:v>
      </x:c>
      <x:c r="F491" s="85" t="str">
        <x:v>特殊</x:v>
      </x:c>
      <x:c r="G491" s="85" t="str">
        <x:v>単体対象</x:v>
      </x:c>
      <x:c r="H491" s="87" t="b">
        <x:v>1</x:v>
      </x:c>
      <x:c r="I491" s="88"/>
      <x:c r="J491" s="89"/>
      <x:c r="K491" s="88"/>
      <x:c r="L491" s="90" t="n">
        <x:v>0</x:v>
      </x:c>
      <x:c r="M491" s="88"/>
      <x:c r="N491" s="91" t="n">
        <x:v>1</x:v>
      </x:c>
      <x:c r="O491" s="92" t="b">
        <x:v>0</x:v>
      </x:c>
      <x:c r="P491" s="88"/>
    </x:row>
    <x:row r="492">
      <x:c r="A492" s="56" t="str">
        <x:v>trailblaze</x:v>
      </x:c>
      <x:c r="B492" s="56" t="str">
        <x:v>くさわけ</x:v>
      </x:c>
      <x:c r="C492" s="56" t="str">
        <x:v>Trailblaze</x:v>
      </x:c>
      <x:c r="D492" s="85" t="str">
        <x:v>くさ</x:v>
      </x:c>
      <x:c r="E492" s="86" t="n">
        <x:v>50</x:v>
      </x:c>
      <x:c r="F492" s="85" t="str">
        <x:v>物理</x:v>
      </x:c>
      <x:c r="G492" s="85" t="str">
        <x:v>単体対象</x:v>
      </x:c>
      <x:c r="H492" s="87" t="b">
        <x:v>1</x:v>
      </x:c>
      <x:c r="I492" s="88"/>
      <x:c r="J492" s="89"/>
      <x:c r="K492" s="88"/>
      <x:c r="L492" s="90" t="n">
        <x:v>0</x:v>
      </x:c>
      <x:c r="M492" s="88"/>
      <x:c r="N492" s="91" t="n">
        <x:v>369</x:v>
      </x:c>
      <x:c r="O492" s="92" t="b">
        <x:v>0</x:v>
      </x:c>
      <x:c r="P492" s="88"/>
    </x:row>
    <x:row r="493">
      <x:c r="A493" s="56" t="str">
        <x:v>tri-attack</x:v>
      </x:c>
      <x:c r="B493" s="56" t="str">
        <x:v>トライアタック</x:v>
      </x:c>
      <x:c r="C493" s="56" t="str">
        <x:v>Tri Attack</x:v>
      </x:c>
      <x:c r="D493" s="85" t="str">
        <x:v>ノーマル</x:v>
      </x:c>
      <x:c r="E493" s="86" t="n">
        <x:v>80</x:v>
      </x:c>
      <x:c r="F493" s="85" t="str">
        <x:v>特殊</x:v>
      </x:c>
      <x:c r="G493" s="85" t="str">
        <x:v>単体対象</x:v>
      </x:c>
      <x:c r="H493" s="87" t="b">
        <x:v>1</x:v>
      </x:c>
      <x:c r="I493" s="88"/>
      <x:c r="J493" s="89"/>
      <x:c r="K493" s="88"/>
      <x:c r="L493" s="90" t="n">
        <x:v>0</x:v>
      </x:c>
      <x:c r="M493" s="88"/>
      <x:c r="N493" s="91" t="n">
        <x:v>69</x:v>
      </x:c>
      <x:c r="O493" s="92" t="b">
        <x:v>0</x:v>
      </x:c>
      <x:c r="P493" s="88"/>
    </x:row>
    <x:row r="494">
      <x:c r="A494" s="56" t="str">
        <x:v>triple-arrows</x:v>
      </x:c>
      <x:c r="B494" s="56" t="str">
        <x:v>３ぼんのや</x:v>
      </x:c>
      <x:c r="C494" s="56" t="str">
        <x:v>Triple Arrows</x:v>
      </x:c>
      <x:c r="D494" s="85" t="str">
        <x:v>かくとう</x:v>
      </x:c>
      <x:c r="E494" s="86" t="n">
        <x:v>90</x:v>
      </x:c>
      <x:c r="F494" s="85" t="str">
        <x:v>物理</x:v>
      </x:c>
      <x:c r="G494" s="85" t="str">
        <x:v>単体対象</x:v>
      </x:c>
      <x:c r="H494" s="87" t="b">
        <x:v>1</x:v>
      </x:c>
      <x:c r="I494" s="88"/>
      <x:c r="J494" s="89"/>
      <x:c r="K494" s="88"/>
      <x:c r="L494" s="90" t="n">
        <x:v>0</x:v>
      </x:c>
      <x:c r="M494" s="88"/>
      <x:c r="N494" s="91" t="n">
        <x:v>1</x:v>
      </x:c>
      <x:c r="O494" s="92" t="b">
        <x:v>0</x:v>
      </x:c>
      <x:c r="P494" s="88"/>
    </x:row>
    <x:row r="495">
      <x:c r="A495" s="56" t="str">
        <x:v>triple-axel</x:v>
      </x:c>
      <x:c r="B495" s="56" t="str">
        <x:v>トリプルアクセル</x:v>
      </x:c>
      <x:c r="C495" s="56" t="str">
        <x:v>Triple Axel</x:v>
      </x:c>
      <x:c r="D495" s="85" t="str">
        <x:v>こおり</x:v>
      </x:c>
      <x:c r="E495" s="86" t="n">
        <x:v>20</x:v>
      </x:c>
      <x:c r="F495" s="85" t="str">
        <x:v>物理</x:v>
      </x:c>
      <x:c r="G495" s="85" t="str">
        <x:v>単体対象</x:v>
      </x:c>
      <x:c r="H495" s="87" t="b">
        <x:v>1</x:v>
      </x:c>
      <x:c r="I495" s="88"/>
      <x:c r="J495" s="89"/>
      <x:c r="K495" s="88"/>
      <x:c r="L495" s="90" t="n">
        <x:v>0</x:v>
      </x:c>
      <x:c r="M495" s="88"/>
      <x:c r="N495" s="91" t="n">
        <x:v>49</x:v>
      </x:c>
      <x:c r="O495" s="92" t="b">
        <x:v>0</x:v>
      </x:c>
      <x:c r="P495" s="88"/>
    </x:row>
    <x:row r="496">
      <x:c r="A496" s="56" t="str">
        <x:v>triple-dive</x:v>
      </x:c>
      <x:c r="B496" s="56" t="str">
        <x:v>トリプルダイブ</x:v>
      </x:c>
      <x:c r="C496" s="56" t="str">
        <x:v>Triple Dive</x:v>
      </x:c>
      <x:c r="D496" s="85" t="str">
        <x:v>みず</x:v>
      </x:c>
      <x:c r="E496" s="86" t="n">
        <x:v>30</x:v>
      </x:c>
      <x:c r="F496" s="85" t="str">
        <x:v>物理</x:v>
      </x:c>
      <x:c r="G496" s="85" t="str">
        <x:v>単体対象</x:v>
      </x:c>
      <x:c r="H496" s="87" t="b">
        <x:v>1</x:v>
      </x:c>
      <x:c r="I496" s="88"/>
      <x:c r="J496" s="89"/>
      <x:c r="K496" s="88"/>
      <x:c r="L496" s="90" t="n">
        <x:v>0</x:v>
      </x:c>
      <x:c r="M496" s="88"/>
      <x:c r="N496" s="91" t="n">
        <x:v>1</x:v>
      </x:c>
      <x:c r="O496" s="92" t="b">
        <x:v>0</x:v>
      </x:c>
      <x:c r="P496" s="88"/>
    </x:row>
    <x:row r="497">
      <x:c r="A497" s="56" t="str">
        <x:v>triple-kick</x:v>
      </x:c>
      <x:c r="B497" s="56" t="str">
        <x:v>トリプルキック</x:v>
      </x:c>
      <x:c r="C497" s="56" t="str">
        <x:v>Triple Kick</x:v>
      </x:c>
      <x:c r="D497" s="85" t="str">
        <x:v>かくとう</x:v>
      </x:c>
      <x:c r="E497" s="86" t="n">
        <x:v>10</x:v>
      </x:c>
      <x:c r="F497" s="85" t="str">
        <x:v>物理</x:v>
      </x:c>
      <x:c r="G497" s="85" t="str">
        <x:v>単体対象</x:v>
      </x:c>
      <x:c r="H497" s="87" t="b">
        <x:v>1</x:v>
      </x:c>
      <x:c r="I497" s="88"/>
      <x:c r="J497" s="89"/>
      <x:c r="K497" s="88"/>
      <x:c r="L497" s="90" t="n">
        <x:v>0</x:v>
      </x:c>
      <x:c r="M497" s="88"/>
      <x:c r="N497" s="91" t="n">
        <x:v>2</x:v>
      </x:c>
      <x:c r="O497" s="92" t="b">
        <x:v>0</x:v>
      </x:c>
      <x:c r="P497" s="88"/>
    </x:row>
    <x:row r="498">
      <x:c r="A498" s="56" t="str">
        <x:v>trop-kick</x:v>
      </x:c>
      <x:c r="B498" s="56" t="str">
        <x:v>トロピカルキック</x:v>
      </x:c>
      <x:c r="C498" s="56" t="str">
        <x:v>Trop Kick</x:v>
      </x:c>
      <x:c r="D498" s="85" t="str">
        <x:v>くさ</x:v>
      </x:c>
      <x:c r="E498" s="86" t="n">
        <x:v>70</x:v>
      </x:c>
      <x:c r="F498" s="85" t="str">
        <x:v>物理</x:v>
      </x:c>
      <x:c r="G498" s="85" t="str">
        <x:v>単体対象</x:v>
      </x:c>
      <x:c r="H498" s="87" t="b">
        <x:v>1</x:v>
      </x:c>
      <x:c r="I498" s="88"/>
      <x:c r="J498" s="89"/>
      <x:c r="K498" s="88"/>
      <x:c r="L498" s="90" t="n">
        <x:v>0</x:v>
      </x:c>
      <x:c r="M498" s="88"/>
      <x:c r="N498" s="91" t="n">
        <x:v>1</x:v>
      </x:c>
      <x:c r="O498" s="92" t="b">
        <x:v>0</x:v>
      </x:c>
      <x:c r="P498" s="88"/>
    </x:row>
    <x:row r="499">
      <x:c r="A499" s="56" t="str">
        <x:v>twin-beam</x:v>
      </x:c>
      <x:c r="B499" s="56" t="str">
        <x:v>ツインビーム</x:v>
      </x:c>
      <x:c r="C499" s="56" t="str">
        <x:v>Twin Beam</x:v>
      </x:c>
      <x:c r="D499" s="85" t="str">
        <x:v>エスパー</x:v>
      </x:c>
      <x:c r="E499" s="86" t="n">
        <x:v>40</x:v>
      </x:c>
      <x:c r="F499" s="85" t="str">
        <x:v>特殊</x:v>
      </x:c>
      <x:c r="G499" s="85" t="str">
        <x:v>単体対象</x:v>
      </x:c>
      <x:c r="H499" s="87" t="b">
        <x:v>1</x:v>
      </x:c>
      <x:c r="I499" s="88"/>
      <x:c r="J499" s="89"/>
      <x:c r="K499" s="88"/>
      <x:c r="L499" s="90" t="n">
        <x:v>0</x:v>
      </x:c>
      <x:c r="M499" s="88"/>
      <x:c r="N499" s="91" t="n">
        <x:v>2</x:v>
      </x:c>
      <x:c r="O499" s="92" t="b">
        <x:v>0</x:v>
      </x:c>
      <x:c r="P499" s="88"/>
    </x:row>
    <x:row r="500">
      <x:c r="A500" s="56" t="str">
        <x:v>twineedle</x:v>
      </x:c>
      <x:c r="B500" s="56" t="str">
        <x:v>ダブルニードル</x:v>
      </x:c>
      <x:c r="C500" s="56" t="str">
        <x:v>Twineedle</x:v>
      </x:c>
      <x:c r="D500" s="85" t="str">
        <x:v>むし</x:v>
      </x:c>
      <x:c r="E500" s="86" t="n">
        <x:v>25</x:v>
      </x:c>
      <x:c r="F500" s="85" t="str">
        <x:v>物理</x:v>
      </x:c>
      <x:c r="G500" s="85" t="str">
        <x:v>単体対象</x:v>
      </x:c>
      <x:c r="H500" s="87" t="b">
        <x:v>1</x:v>
      </x:c>
      <x:c r="I500" s="88"/>
      <x:c r="J500" s="89"/>
      <x:c r="K500" s="88"/>
      <x:c r="L500" s="90" t="n">
        <x:v>0</x:v>
      </x:c>
      <x:c r="M500" s="88"/>
      <x:c r="N500" s="91" t="n">
        <x:v>10</x:v>
      </x:c>
      <x:c r="O500" s="92" t="b">
        <x:v>0</x:v>
      </x:c>
      <x:c r="P500" s="88"/>
    </x:row>
    <x:row r="501">
      <x:c r="A501" s="56" t="str">
        <x:v>twister</x:v>
      </x:c>
      <x:c r="B501" s="56" t="str">
        <x:v>たつまき</x:v>
      </x:c>
      <x:c r="C501" s="56" t="str">
        <x:v>Twister</x:v>
      </x:c>
      <x:c r="D501" s="85" t="str">
        <x:v>ドラゴン</x:v>
      </x:c>
      <x:c r="E501" s="86" t="n">
        <x:v>40</x:v>
      </x:c>
      <x:c r="F501" s="85" t="str">
        <x:v>特殊</x:v>
      </x:c>
      <x:c r="G501" s="85" t="str">
        <x:v>複数対象</x:v>
      </x:c>
      <x:c r="H501" s="87" t="b">
        <x:v>1</x:v>
      </x:c>
      <x:c r="I501" s="88"/>
      <x:c r="J501" s="89"/>
      <x:c r="K501" s="88"/>
      <x:c r="L501" s="90" t="n">
        <x:v>0</x:v>
      </x:c>
      <x:c r="M501" s="88"/>
      <x:c r="N501" s="91" t="n">
        <x:v>97</x:v>
      </x:c>
      <x:c r="O501" s="92" t="b">
        <x:v>1</x:v>
      </x:c>
      <x:c r="P501" s="88"/>
    </x:row>
    <x:row r="502">
      <x:c r="A502" s="56" t="str">
        <x:v>u-turn</x:v>
      </x:c>
      <x:c r="B502" s="56" t="str">
        <x:v>とんぼがえり</x:v>
      </x:c>
      <x:c r="C502" s="56" t="str">
        <x:v>U-turn</x:v>
      </x:c>
      <x:c r="D502" s="85" t="str">
        <x:v>むし</x:v>
      </x:c>
      <x:c r="E502" s="86" t="n">
        <x:v>70</x:v>
      </x:c>
      <x:c r="F502" s="85" t="str">
        <x:v>物理</x:v>
      </x:c>
      <x:c r="G502" s="85" t="str">
        <x:v>単体対象</x:v>
      </x:c>
      <x:c r="H502" s="87" t="b">
        <x:v>1</x:v>
      </x:c>
      <x:c r="I502" s="88"/>
      <x:c r="J502" s="89"/>
      <x:c r="K502" s="88"/>
      <x:c r="L502" s="90" t="n">
        <x:v>0</x:v>
      </x:c>
      <x:c r="M502" s="88"/>
      <x:c r="N502" s="91" t="n">
        <x:v>276</x:v>
      </x:c>
      <x:c r="O502" s="92" t="b">
        <x:v>0</x:v>
      </x:c>
      <x:c r="P502" s="88"/>
    </x:row>
    <x:row r="503">
      <x:c r="A503" s="56" t="str">
        <x:v>upper-hand</x:v>
      </x:c>
      <x:c r="B503" s="56" t="str">
        <x:v>はやてがえし</x:v>
      </x:c>
      <x:c r="C503" s="56" t="str">
        <x:v>Upper Hand</x:v>
      </x:c>
      <x:c r="D503" s="85" t="str">
        <x:v>かくとう</x:v>
      </x:c>
      <x:c r="E503" s="86" t="n">
        <x:v>65</x:v>
      </x:c>
      <x:c r="F503" s="85" t="str">
        <x:v>物理</x:v>
      </x:c>
      <x:c r="G503" s="85" t="str">
        <x:v>単体対象</x:v>
      </x:c>
      <x:c r="H503" s="87" t="b">
        <x:v>1</x:v>
      </x:c>
      <x:c r="I503" s="88"/>
      <x:c r="J503" s="89"/>
      <x:c r="K503" s="88"/>
      <x:c r="L503" s="90" t="n">
        <x:v>1</x:v>
      </x:c>
      <x:c r="M503" s="88"/>
      <x:c r="N503" s="91" t="n">
        <x:v>70</x:v>
      </x:c>
      <x:c r="O503" s="92" t="b">
        <x:v>0</x:v>
      </x:c>
      <x:c r="P503" s="88"/>
    </x:row>
    <x:row r="504">
      <x:c r="A504" s="56" t="str">
        <x:v>uproar</x:v>
      </x:c>
      <x:c r="B504" s="56" t="str">
        <x:v>さわぐ</x:v>
      </x:c>
      <x:c r="C504" s="56" t="str">
        <x:v>Uproar</x:v>
      </x:c>
      <x:c r="D504" s="85" t="str">
        <x:v>ノーマル</x:v>
      </x:c>
      <x:c r="E504" s="86" t="n">
        <x:v>90</x:v>
      </x:c>
      <x:c r="F504" s="85" t="str">
        <x:v>特殊</x:v>
      </x:c>
      <x:c r="G504" s="85" t="str">
        <x:v>単体対象</x:v>
      </x:c>
      <x:c r="H504" s="87" t="b">
        <x:v>1</x:v>
      </x:c>
      <x:c r="I504" s="88"/>
      <x:c r="J504" s="89"/>
      <x:c r="K504" s="88"/>
      <x:c r="L504" s="90" t="n">
        <x:v>0</x:v>
      </x:c>
      <x:c r="M504" s="88"/>
      <x:c r="N504" s="91" t="n">
        <x:v>402</x:v>
      </x:c>
      <x:c r="O504" s="92" t="b">
        <x:v>0</x:v>
      </x:c>
      <x:c r="P504" s="88"/>
    </x:row>
    <x:row r="505">
      <x:c r="A505" s="56" t="str">
        <x:v>v-create</x:v>
      </x:c>
      <x:c r="B505" s="56" t="str">
        <x:v>Ｖジェネレート</x:v>
      </x:c>
      <x:c r="C505" s="56" t="str">
        <x:v>V-create</x:v>
      </x:c>
      <x:c r="D505" s="85" t="str">
        <x:v>ほのお</x:v>
      </x:c>
      <x:c r="E505" s="86" t="n">
        <x:v>180</x:v>
      </x:c>
      <x:c r="F505" s="85" t="str">
        <x:v>物理</x:v>
      </x:c>
      <x:c r="G505" s="85" t="str">
        <x:v>単体対象</x:v>
      </x:c>
      <x:c r="H505" s="87" t="b">
        <x:v>1</x:v>
      </x:c>
      <x:c r="I505" s="88"/>
      <x:c r="J505" s="89"/>
      <x:c r="K505" s="88"/>
      <x:c r="L505" s="90" t="n">
        <x:v>0</x:v>
      </x:c>
      <x:c r="M505" s="88"/>
      <x:c r="N505" s="91" t="n">
        <x:v>1</x:v>
      </x:c>
      <x:c r="O505" s="92" t="b">
        <x:v>0</x:v>
      </x:c>
      <x:c r="P505" s="88"/>
    </x:row>
    <x:row r="506">
      <x:c r="A506" s="56" t="str">
        <x:v>vacuum-wave</x:v>
      </x:c>
      <x:c r="B506" s="56" t="str">
        <x:v>しんくうは</x:v>
      </x:c>
      <x:c r="C506" s="56" t="str">
        <x:v>Vacuum Wave</x:v>
      </x:c>
      <x:c r="D506" s="85" t="str">
        <x:v>かくとう</x:v>
      </x:c>
      <x:c r="E506" s="86" t="n">
        <x:v>40</x:v>
      </x:c>
      <x:c r="F506" s="85" t="str">
        <x:v>特殊</x:v>
      </x:c>
      <x:c r="G506" s="85" t="str">
        <x:v>単体対象</x:v>
      </x:c>
      <x:c r="H506" s="87" t="b">
        <x:v>1</x:v>
      </x:c>
      <x:c r="I506" s="88"/>
      <x:c r="J506" s="89"/>
      <x:c r="K506" s="88"/>
      <x:c r="L506" s="90" t="n">
        <x:v>1</x:v>
      </x:c>
      <x:c r="M506" s="88"/>
      <x:c r="N506" s="91" t="n">
        <x:v>66</x:v>
      </x:c>
      <x:c r="O506" s="92" t="b">
        <x:v>0</x:v>
      </x:c>
      <x:c r="P506" s="88"/>
    </x:row>
    <x:row r="507">
      <x:c r="A507" s="56" t="str">
        <x:v>venoshock</x:v>
      </x:c>
      <x:c r="B507" s="56" t="str">
        <x:v>ベノムショック</x:v>
      </x:c>
      <x:c r="C507" s="56" t="str">
        <x:v>Venoshock</x:v>
      </x:c>
      <x:c r="D507" s="85" t="str">
        <x:v>どく</x:v>
      </x:c>
      <x:c r="E507" s="86" t="n">
        <x:v>65</x:v>
      </x:c>
      <x:c r="F507" s="85" t="str">
        <x:v>特殊</x:v>
      </x:c>
      <x:c r="G507" s="85" t="str">
        <x:v>単体対象</x:v>
      </x:c>
      <x:c r="H507" s="87" t="b">
        <x:v>1</x:v>
      </x:c>
      <x:c r="I507" s="88"/>
      <x:c r="J507" s="89"/>
      <x:c r="K507" s="88"/>
      <x:c r="L507" s="90" t="n">
        <x:v>0</x:v>
      </x:c>
      <x:c r="M507" s="88"/>
      <x:c r="N507" s="91" t="n">
        <x:v>135</x:v>
      </x:c>
      <x:c r="O507" s="92" t="b">
        <x:v>0</x:v>
      </x:c>
      <x:c r="P507" s="88"/>
    </x:row>
    <x:row r="508">
      <x:c r="A508" s="56" t="str">
        <x:v>vice-grip</x:v>
      </x:c>
      <x:c r="B508" s="56" t="str">
        <x:v>はさむ</x:v>
      </x:c>
      <x:c r="C508" s="56" t="str">
        <x:v>Vise Grip</x:v>
      </x:c>
      <x:c r="D508" s="85" t="str">
        <x:v>ノーマル</x:v>
      </x:c>
      <x:c r="E508" s="86" t="n">
        <x:v>55</x:v>
      </x:c>
      <x:c r="F508" s="85" t="str">
        <x:v>物理</x:v>
      </x:c>
      <x:c r="G508" s="85" t="str">
        <x:v>単体対象</x:v>
      </x:c>
      <x:c r="H508" s="87" t="b">
        <x:v>1</x:v>
      </x:c>
      <x:c r="I508" s="88"/>
      <x:c r="J508" s="89"/>
      <x:c r="K508" s="88"/>
      <x:c r="L508" s="90" t="n">
        <x:v>0</x:v>
      </x:c>
      <x:c r="M508" s="88"/>
      <x:c r="N508" s="91" t="n">
        <x:v>19</x:v>
      </x:c>
      <x:c r="O508" s="92" t="b">
        <x:v>0</x:v>
      </x:c>
      <x:c r="P508" s="88"/>
    </x:row>
    <x:row r="509">
      <x:c r="A509" s="56" t="str">
        <x:v>vine-whip</x:v>
      </x:c>
      <x:c r="B509" s="56" t="str">
        <x:v>つるのムチ</x:v>
      </x:c>
      <x:c r="C509" s="56" t="str">
        <x:v>Vine Whip</x:v>
      </x:c>
      <x:c r="D509" s="85" t="str">
        <x:v>くさ</x:v>
      </x:c>
      <x:c r="E509" s="86" t="n">
        <x:v>45</x:v>
      </x:c>
      <x:c r="F509" s="85" t="str">
        <x:v>物理</x:v>
      </x:c>
      <x:c r="G509" s="85" t="str">
        <x:v>単体対象</x:v>
      </x:c>
      <x:c r="H509" s="87" t="b">
        <x:v>1</x:v>
      </x:c>
      <x:c r="I509" s="88"/>
      <x:c r="J509" s="89"/>
      <x:c r="K509" s="88"/>
      <x:c r="L509" s="90" t="n">
        <x:v>0</x:v>
      </x:c>
      <x:c r="M509" s="88"/>
      <x:c r="N509" s="91" t="n">
        <x:v>32</x:v>
      </x:c>
      <x:c r="O509" s="92" t="b">
        <x:v>0</x:v>
      </x:c>
      <x:c r="P509" s="88"/>
    </x:row>
    <x:row r="510">
      <x:c r="A510" s="56" t="str">
        <x:v>vital-throw</x:v>
      </x:c>
      <x:c r="B510" s="56" t="str">
        <x:v>あてみなげ</x:v>
      </x:c>
      <x:c r="C510" s="56" t="str">
        <x:v>Vital Throw</x:v>
      </x:c>
      <x:c r="D510" s="85" t="str">
        <x:v>かくとう</x:v>
      </x:c>
      <x:c r="E510" s="86" t="n">
        <x:v>70</x:v>
      </x:c>
      <x:c r="F510" s="85" t="str">
        <x:v>物理</x:v>
      </x:c>
      <x:c r="G510" s="85" t="str">
        <x:v>単体対象</x:v>
      </x:c>
      <x:c r="H510" s="87" t="b">
        <x:v>1</x:v>
      </x:c>
      <x:c r="I510" s="88"/>
      <x:c r="J510" s="89"/>
      <x:c r="K510" s="88"/>
      <x:c r="L510" s="90" t="n">
        <x:v>0</x:v>
      </x:c>
      <x:c r="M510" s="88"/>
      <x:c r="N510" s="91" t="n">
        <x:v>13</x:v>
      </x:c>
      <x:c r="O510" s="92" t="b">
        <x:v>0</x:v>
      </x:c>
      <x:c r="P510" s="88"/>
    </x:row>
    <x:row r="511">
      <x:c r="A511" s="56" t="str">
        <x:v>volt-switch</x:v>
      </x:c>
      <x:c r="B511" s="56" t="str">
        <x:v>ボルトチェンジ</x:v>
      </x:c>
      <x:c r="C511" s="56" t="str">
        <x:v>Volt Switch</x:v>
      </x:c>
      <x:c r="D511" s="85" t="str">
        <x:v>でんき</x:v>
      </x:c>
      <x:c r="E511" s="86" t="n">
        <x:v>70</x:v>
      </x:c>
      <x:c r="F511" s="85" t="str">
        <x:v>特殊</x:v>
      </x:c>
      <x:c r="G511" s="85" t="str">
        <x:v>単体対象</x:v>
      </x:c>
      <x:c r="H511" s="87" t="b">
        <x:v>1</x:v>
      </x:c>
      <x:c r="I511" s="88"/>
      <x:c r="J511" s="89"/>
      <x:c r="K511" s="88"/>
      <x:c r="L511" s="90" t="n">
        <x:v>0</x:v>
      </x:c>
      <x:c r="M511" s="88"/>
      <x:c r="N511" s="91" t="n">
        <x:v>112</x:v>
      </x:c>
      <x:c r="O511" s="92" t="b">
        <x:v>0</x:v>
      </x:c>
      <x:c r="P511" s="88"/>
    </x:row>
    <x:row r="512">
      <x:c r="A512" s="56" t="str">
        <x:v>volt-tackle</x:v>
      </x:c>
      <x:c r="B512" s="56" t="str">
        <x:v>ボルテッカー</x:v>
      </x:c>
      <x:c r="C512" s="56" t="str">
        <x:v>Volt Tackle</x:v>
      </x:c>
      <x:c r="D512" s="85" t="str">
        <x:v>でんき</x:v>
      </x:c>
      <x:c r="E512" s="86" t="n">
        <x:v>120</x:v>
      </x:c>
      <x:c r="F512" s="85" t="str">
        <x:v>物理</x:v>
      </x:c>
      <x:c r="G512" s="85" t="str">
        <x:v>単体対象</x:v>
      </x:c>
      <x:c r="H512" s="87" t="b">
        <x:v>1</x:v>
      </x:c>
      <x:c r="I512" s="88"/>
      <x:c r="J512" s="89"/>
      <x:c r="K512" s="88"/>
      <x:c r="L512" s="90" t="n">
        <x:v>0</x:v>
      </x:c>
      <x:c r="M512" s="88"/>
      <x:c r="N512" s="91" t="n">
        <x:v>11</x:v>
      </x:c>
      <x:c r="O512" s="92" t="b">
        <x:v>0</x:v>
      </x:c>
      <x:c r="P512" s="88"/>
    </x:row>
    <x:row r="513">
      <x:c r="A513" s="56" t="str">
        <x:v>wake-up-slap</x:v>
      </x:c>
      <x:c r="B513" s="56" t="str">
        <x:v>めざましビンタ</x:v>
      </x:c>
      <x:c r="C513" s="56" t="str">
        <x:v>Wake-Up Slap</x:v>
      </x:c>
      <x:c r="D513" s="85" t="str">
        <x:v>かくとう</x:v>
      </x:c>
      <x:c r="E513" s="86" t="n">
        <x:v>70</x:v>
      </x:c>
      <x:c r="F513" s="85" t="str">
        <x:v>物理</x:v>
      </x:c>
      <x:c r="G513" s="85" t="str">
        <x:v>単体対象</x:v>
      </x:c>
      <x:c r="H513" s="87" t="b">
        <x:v>1</x:v>
      </x:c>
      <x:c r="I513" s="88"/>
      <x:c r="J513" s="89"/>
      <x:c r="K513" s="88"/>
      <x:c r="L513" s="90" t="n">
        <x:v>0</x:v>
      </x:c>
      <x:c r="M513" s="88"/>
      <x:c r="N513" s="91" t="n">
        <x:v>30</x:v>
      </x:c>
      <x:c r="O513" s="92" t="b">
        <x:v>0</x:v>
      </x:c>
      <x:c r="P513" s="88"/>
    </x:row>
    <x:row r="514">
      <x:c r="A514" s="56" t="str">
        <x:v>water-gun</x:v>
      </x:c>
      <x:c r="B514" s="56" t="str">
        <x:v>みずでっぽう</x:v>
      </x:c>
      <x:c r="C514" s="56" t="str">
        <x:v>Water Gun</x:v>
      </x:c>
      <x:c r="D514" s="85" t="str">
        <x:v>みず</x:v>
      </x:c>
      <x:c r="E514" s="86" t="n">
        <x:v>40</x:v>
      </x:c>
      <x:c r="F514" s="85" t="str">
        <x:v>特殊</x:v>
      </x:c>
      <x:c r="G514" s="85" t="str">
        <x:v>単体対象</x:v>
      </x:c>
      <x:c r="H514" s="87" t="b">
        <x:v>1</x:v>
      </x:c>
      <x:c r="I514" s="88"/>
      <x:c r="J514" s="89"/>
      <x:c r="K514" s="88"/>
      <x:c r="L514" s="90" t="n">
        <x:v>0</x:v>
      </x:c>
      <x:c r="M514" s="88"/>
      <x:c r="N514" s="91" t="n">
        <x:v>192</x:v>
      </x:c>
      <x:c r="O514" s="92" t="b">
        <x:v>0</x:v>
      </x:c>
      <x:c r="P514" s="88"/>
    </x:row>
    <x:row r="515">
      <x:c r="A515" s="56" t="str">
        <x:v>water-pledge</x:v>
      </x:c>
      <x:c r="B515" s="56" t="str">
        <x:v>みずのちかい</x:v>
      </x:c>
      <x:c r="C515" s="56" t="str">
        <x:v>Water Pledge</x:v>
      </x:c>
      <x:c r="D515" s="85" t="str">
        <x:v>みず</x:v>
      </x:c>
      <x:c r="E515" s="86" t="n">
        <x:v>80</x:v>
      </x:c>
      <x:c r="F515" s="85" t="str">
        <x:v>特殊</x:v>
      </x:c>
      <x:c r="G515" s="85" t="str">
        <x:v>単体対象</x:v>
      </x:c>
      <x:c r="H515" s="87" t="b">
        <x:v>1</x:v>
      </x:c>
      <x:c r="I515" s="88"/>
      <x:c r="J515" s="89"/>
      <x:c r="K515" s="88"/>
      <x:c r="L515" s="90" t="n">
        <x:v>0</x:v>
      </x:c>
      <x:c r="M515" s="88"/>
      <x:c r="N515" s="91" t="n">
        <x:v>36</x:v>
      </x:c>
      <x:c r="O515" s="92" t="b">
        <x:v>0</x:v>
      </x:c>
      <x:c r="P515" s="88"/>
    </x:row>
    <x:row r="516">
      <x:c r="A516" s="56" t="str">
        <x:v>water-pulse</x:v>
      </x:c>
      <x:c r="B516" s="56" t="str">
        <x:v>みずのはどう</x:v>
      </x:c>
      <x:c r="C516" s="56" t="str">
        <x:v>Water Pulse</x:v>
      </x:c>
      <x:c r="D516" s="85" t="str">
        <x:v>みず</x:v>
      </x:c>
      <x:c r="E516" s="86" t="n">
        <x:v>60</x:v>
      </x:c>
      <x:c r="F516" s="85" t="str">
        <x:v>特殊</x:v>
      </x:c>
      <x:c r="G516" s="85" t="str">
        <x:v>単体対象</x:v>
      </x:c>
      <x:c r="H516" s="87" t="b">
        <x:v>1</x:v>
      </x:c>
      <x:c r="I516" s="88"/>
      <x:c r="J516" s="89"/>
      <x:c r="K516" s="88"/>
      <x:c r="L516" s="90" t="n">
        <x:v>0</x:v>
      </x:c>
      <x:c r="M516" s="88"/>
      <x:c r="N516" s="91" t="n">
        <x:v>339</x:v>
      </x:c>
      <x:c r="O516" s="92" t="b">
        <x:v>0</x:v>
      </x:c>
      <x:c r="P516" s="88"/>
    </x:row>
    <x:row r="517">
      <x:c r="A517" s="56" t="str">
        <x:v>water-shuriken</x:v>
      </x:c>
      <x:c r="B517" s="56" t="str">
        <x:v>みずしゅりけん</x:v>
      </x:c>
      <x:c r="C517" s="56" t="str">
        <x:v>Water Shuriken</x:v>
      </x:c>
      <x:c r="D517" s="85" t="str">
        <x:v>みず</x:v>
      </x:c>
      <x:c r="E517" s="86" t="n">
        <x:v>15</x:v>
      </x:c>
      <x:c r="F517" s="85" t="str">
        <x:v>特殊</x:v>
      </x:c>
      <x:c r="G517" s="85" t="str">
        <x:v>単体対象</x:v>
      </x:c>
      <x:c r="H517" s="87" t="b">
        <x:v>1</x:v>
      </x:c>
      <x:c r="I517" s="88"/>
      <x:c r="J517" s="89"/>
      <x:c r="K517" s="88"/>
      <x:c r="L517" s="90" t="n">
        <x:v>1</x:v>
      </x:c>
      <x:c r="M517" s="88"/>
      <x:c r="N517" s="91" t="n">
        <x:v>5</x:v>
      </x:c>
      <x:c r="O517" s="92" t="b">
        <x:v>0</x:v>
      </x:c>
      <x:c r="P517" s="88"/>
    </x:row>
    <x:row r="518">
      <x:c r="A518" s="56" t="str">
        <x:v>water-spout</x:v>
      </x:c>
      <x:c r="B518" s="56" t="str">
        <x:v>しおふき</x:v>
      </x:c>
      <x:c r="C518" s="56" t="str">
        <x:v>Water Spout</x:v>
      </x:c>
      <x:c r="D518" s="85" t="str">
        <x:v>みず</x:v>
      </x:c>
      <x:c r="E518" s="86" t="n">
        <x:v>150</x:v>
      </x:c>
      <x:c r="F518" s="85" t="str">
        <x:v>特殊</x:v>
      </x:c>
      <x:c r="G518" s="85" t="str">
        <x:v>複数対象</x:v>
      </x:c>
      <x:c r="H518" s="87" t="b">
        <x:v>1</x:v>
      </x:c>
      <x:c r="I518" s="88"/>
      <x:c r="J518" s="89"/>
      <x:c r="K518" s="88"/>
      <x:c r="L518" s="90" t="n">
        <x:v>0</x:v>
      </x:c>
      <x:c r="M518" s="88"/>
      <x:c r="N518" s="91" t="n">
        <x:v>11</x:v>
      </x:c>
      <x:c r="O518" s="92" t="b">
        <x:v>1</x:v>
      </x:c>
      <x:c r="P518" s="88"/>
    </x:row>
    <x:row r="519">
      <x:c r="A519" s="56" t="str">
        <x:v>waterfall</x:v>
      </x:c>
      <x:c r="B519" s="56" t="str">
        <x:v>たきのぼり</x:v>
      </x:c>
      <x:c r="C519" s="56" t="str">
        <x:v>Waterfall</x:v>
      </x:c>
      <x:c r="D519" s="85" t="str">
        <x:v>みず</x:v>
      </x:c>
      <x:c r="E519" s="86" t="n">
        <x:v>80</x:v>
      </x:c>
      <x:c r="F519" s="85" t="str">
        <x:v>物理</x:v>
      </x:c>
      <x:c r="G519" s="85" t="str">
        <x:v>単体対象</x:v>
      </x:c>
      <x:c r="H519" s="87" t="b">
        <x:v>1</x:v>
      </x:c>
      <x:c r="I519" s="88"/>
      <x:c r="J519" s="89"/>
      <x:c r="K519" s="88"/>
      <x:c r="L519" s="90" t="n">
        <x:v>0</x:v>
      </x:c>
      <x:c r="M519" s="88"/>
      <x:c r="N519" s="91" t="n">
        <x:v>176</x:v>
      </x:c>
      <x:c r="O519" s="92" t="b">
        <x:v>0</x:v>
      </x:c>
      <x:c r="P519" s="88"/>
    </x:row>
    <x:row r="520">
      <x:c r="A520" s="56" t="str">
        <x:v>wave-crash</x:v>
      </x:c>
      <x:c r="B520" s="56" t="str">
        <x:v>ウェーブタックル</x:v>
      </x:c>
      <x:c r="C520" s="56" t="str">
        <x:v>Wave Crash</x:v>
      </x:c>
      <x:c r="D520" s="85" t="str">
        <x:v>みず</x:v>
      </x:c>
      <x:c r="E520" s="86" t="n">
        <x:v>120</x:v>
      </x:c>
      <x:c r="F520" s="85" t="str">
        <x:v>物理</x:v>
      </x:c>
      <x:c r="G520" s="85" t="str">
        <x:v>単体対象</x:v>
      </x:c>
      <x:c r="H520" s="87" t="b">
        <x:v>1</x:v>
      </x:c>
      <x:c r="I520" s="88"/>
      <x:c r="J520" s="89"/>
      <x:c r="K520" s="88"/>
      <x:c r="L520" s="90" t="n">
        <x:v>0</x:v>
      </x:c>
      <x:c r="M520" s="88"/>
      <x:c r="N520" s="91" t="n">
        <x:v>19</x:v>
      </x:c>
      <x:c r="O520" s="92" t="b">
        <x:v>0</x:v>
      </x:c>
      <x:c r="P520" s="88"/>
    </x:row>
    <x:row r="521">
      <x:c r="A521" s="56" t="str">
        <x:v>weather-ball</x:v>
      </x:c>
      <x:c r="B521" s="56" t="str">
        <x:v>ウェザーボール</x:v>
      </x:c>
      <x:c r="C521" s="56" t="str">
        <x:v>Weather Ball</x:v>
      </x:c>
      <x:c r="D521" s="85" t="str">
        <x:v>ノーマル</x:v>
      </x:c>
      <x:c r="E521" s="86" t="n">
        <x:v>50</x:v>
      </x:c>
      <x:c r="F521" s="85" t="str">
        <x:v>特殊</x:v>
      </x:c>
      <x:c r="G521" s="85" t="str">
        <x:v>単体対象</x:v>
      </x:c>
      <x:c r="H521" s="87" t="b">
        <x:v>1</x:v>
      </x:c>
      <x:c r="I521" s="88"/>
      <x:c r="J521" s="89"/>
      <x:c r="K521" s="88"/>
      <x:c r="L521" s="90" t="n">
        <x:v>0</x:v>
      </x:c>
      <x:c r="M521" s="88"/>
      <x:c r="N521" s="91" t="n">
        <x:v>184</x:v>
      </x:c>
      <x:c r="O521" s="92" t="b">
        <x:v>0</x:v>
      </x:c>
      <x:c r="P521" s="88"/>
    </x:row>
    <x:row r="522">
      <x:c r="A522" s="56" t="str">
        <x:v>whirlpool</x:v>
      </x:c>
      <x:c r="B522" s="56" t="str">
        <x:v>うずしお</x:v>
      </x:c>
      <x:c r="C522" s="56" t="str">
        <x:v>Whirlpool</x:v>
      </x:c>
      <x:c r="D522" s="85" t="str">
        <x:v>みず</x:v>
      </x:c>
      <x:c r="E522" s="86" t="n">
        <x:v>35</x:v>
      </x:c>
      <x:c r="F522" s="85" t="str">
        <x:v>特殊</x:v>
      </x:c>
      <x:c r="G522" s="85" t="str">
        <x:v>単体対象</x:v>
      </x:c>
      <x:c r="H522" s="87" t="b">
        <x:v>1</x:v>
      </x:c>
      <x:c r="I522" s="88"/>
      <x:c r="J522" s="89"/>
      <x:c r="K522" s="88"/>
      <x:c r="L522" s="90" t="n">
        <x:v>0</x:v>
      </x:c>
      <x:c r="M522" s="88"/>
      <x:c r="N522" s="91" t="n">
        <x:v>196</x:v>
      </x:c>
      <x:c r="O522" s="92" t="b">
        <x:v>0</x:v>
      </x:c>
      <x:c r="P522" s="88"/>
    </x:row>
    <x:row r="523">
      <x:c r="A523" s="56" t="str">
        <x:v>wicked-blow</x:v>
      </x:c>
      <x:c r="B523" s="56" t="str">
        <x:v>あんこくきょうだ</x:v>
      </x:c>
      <x:c r="C523" s="56" t="str">
        <x:v>Wicked Blow</x:v>
      </x:c>
      <x:c r="D523" s="85" t="str">
        <x:v>あく</x:v>
      </x:c>
      <x:c r="E523" s="86" t="n">
        <x:v>75</x:v>
      </x:c>
      <x:c r="F523" s="85" t="str">
        <x:v>物理</x:v>
      </x:c>
      <x:c r="G523" s="85" t="str">
        <x:v>単体対象</x:v>
      </x:c>
      <x:c r="H523" s="87" t="b">
        <x:v>1</x:v>
      </x:c>
      <x:c r="I523" s="88"/>
      <x:c r="J523" s="89"/>
      <x:c r="K523" s="88"/>
      <x:c r="L523" s="90" t="n">
        <x:v>0</x:v>
      </x:c>
      <x:c r="M523" s="88"/>
      <x:c r="N523" s="91" t="n">
        <x:v>1</x:v>
      </x:c>
      <x:c r="O523" s="92" t="b">
        <x:v>0</x:v>
      </x:c>
      <x:c r="P523" s="88"/>
    </x:row>
    <x:row r="524">
      <x:c r="A524" s="56" t="str">
        <x:v>wild-charge</x:v>
      </x:c>
      <x:c r="B524" s="56" t="str">
        <x:v>ワイルドボルト</x:v>
      </x:c>
      <x:c r="C524" s="56" t="str">
        <x:v>Wild Charge</x:v>
      </x:c>
      <x:c r="D524" s="85" t="str">
        <x:v>でんき</x:v>
      </x:c>
      <x:c r="E524" s="86" t="n">
        <x:v>90</x:v>
      </x:c>
      <x:c r="F524" s="85" t="str">
        <x:v>物理</x:v>
      </x:c>
      <x:c r="G524" s="85" t="str">
        <x:v>単体対象</x:v>
      </x:c>
      <x:c r="H524" s="87" t="b">
        <x:v>1</x:v>
      </x:c>
      <x:c r="I524" s="88"/>
      <x:c r="J524" s="89"/>
      <x:c r="K524" s="88"/>
      <x:c r="L524" s="90" t="n">
        <x:v>0</x:v>
      </x:c>
      <x:c r="M524" s="88"/>
      <x:c r="N524" s="91" t="n">
        <x:v>187</x:v>
      </x:c>
      <x:c r="O524" s="92" t="b">
        <x:v>0</x:v>
      </x:c>
      <x:c r="P524" s="88"/>
    </x:row>
    <x:row r="525">
      <x:c r="A525" s="56" t="str">
        <x:v>wildbolt-storm</x:v>
      </x:c>
      <x:c r="B525" s="56" t="str">
        <x:v>かみなりあらし</x:v>
      </x:c>
      <x:c r="C525" s="56" t="str">
        <x:v>Wildbolt Storm</x:v>
      </x:c>
      <x:c r="D525" s="85" t="str">
        <x:v>でんき</x:v>
      </x:c>
      <x:c r="E525" s="86" t="n">
        <x:v>100</x:v>
      </x:c>
      <x:c r="F525" s="85" t="str">
        <x:v>特殊</x:v>
      </x:c>
      <x:c r="G525" s="85" t="str">
        <x:v>複数対象</x:v>
      </x:c>
      <x:c r="H525" s="87" t="b">
        <x:v>1</x:v>
      </x:c>
      <x:c r="I525" s="88"/>
      <x:c r="J525" s="89"/>
      <x:c r="K525" s="88"/>
      <x:c r="L525" s="90" t="n">
        <x:v>0</x:v>
      </x:c>
      <x:c r="M525" s="88"/>
      <x:c r="N525" s="91" t="n">
        <x:v>2</x:v>
      </x:c>
      <x:c r="O525" s="92" t="b">
        <x:v>1</x:v>
      </x:c>
      <x:c r="P525" s="88"/>
    </x:row>
    <x:row r="526">
      <x:c r="A526" s="56" t="str">
        <x:v>wing-attack</x:v>
      </x:c>
      <x:c r="B526" s="56" t="str">
        <x:v>つばさでうつ</x:v>
      </x:c>
      <x:c r="C526" s="56" t="str">
        <x:v>Wing Attack</x:v>
      </x:c>
      <x:c r="D526" s="85" t="str">
        <x:v>ひこう</x:v>
      </x:c>
      <x:c r="E526" s="86" t="n">
        <x:v>60</x:v>
      </x:c>
      <x:c r="F526" s="85" t="str">
        <x:v>物理</x:v>
      </x:c>
      <x:c r="G526" s="85" t="str">
        <x:v>単体対象</x:v>
      </x:c>
      <x:c r="H526" s="87" t="b">
        <x:v>1</x:v>
      </x:c>
      <x:c r="I526" s="88"/>
      <x:c r="J526" s="89"/>
      <x:c r="K526" s="88"/>
      <x:c r="L526" s="90" t="n">
        <x:v>0</x:v>
      </x:c>
      <x:c r="M526" s="88"/>
      <x:c r="N526" s="91" t="n">
        <x:v>57</x:v>
      </x:c>
      <x:c r="O526" s="92" t="b">
        <x:v>0</x:v>
      </x:c>
      <x:c r="P526" s="88"/>
    </x:row>
    <x:row r="527">
      <x:c r="A527" s="56" t="str">
        <x:v>wood-hammer</x:v>
      </x:c>
      <x:c r="B527" s="56" t="str">
        <x:v>ウッドハンマー</x:v>
      </x:c>
      <x:c r="C527" s="56" t="str">
        <x:v>Wood Hammer</x:v>
      </x:c>
      <x:c r="D527" s="85" t="str">
        <x:v>くさ</x:v>
      </x:c>
      <x:c r="E527" s="86" t="n">
        <x:v>120</x:v>
      </x:c>
      <x:c r="F527" s="85" t="str">
        <x:v>物理</x:v>
      </x:c>
      <x:c r="G527" s="85" t="str">
        <x:v>単体対象</x:v>
      </x:c>
      <x:c r="H527" s="87" t="b">
        <x:v>1</x:v>
      </x:c>
      <x:c r="I527" s="88"/>
      <x:c r="J527" s="89"/>
      <x:c r="K527" s="88"/>
      <x:c r="L527" s="90" t="n">
        <x:v>0</x:v>
      </x:c>
      <x:c r="M527" s="88"/>
      <x:c r="N527" s="91" t="n">
        <x:v>28</x:v>
      </x:c>
      <x:c r="O527" s="92" t="b">
        <x:v>0</x:v>
      </x:c>
      <x:c r="P527" s="88"/>
    </x:row>
    <x:row r="528">
      <x:c r="A528" s="56" t="str">
        <x:v>wrap</x:v>
      </x:c>
      <x:c r="B528" s="56" t="str">
        <x:v>まきつく</x:v>
      </x:c>
      <x:c r="C528" s="56" t="str">
        <x:v>Wrap</x:v>
      </x:c>
      <x:c r="D528" s="85" t="str">
        <x:v>ノーマル</x:v>
      </x:c>
      <x:c r="E528" s="86" t="n">
        <x:v>15</x:v>
      </x:c>
      <x:c r="F528" s="85" t="str">
        <x:v>物理</x:v>
      </x:c>
      <x:c r="G528" s="85" t="str">
        <x:v>単体対象</x:v>
      </x:c>
      <x:c r="H528" s="87" t="b">
        <x:v>1</x:v>
      </x:c>
      <x:c r="I528" s="88"/>
      <x:c r="J528" s="89"/>
      <x:c r="K528" s="88"/>
      <x:c r="L528" s="90" t="n">
        <x:v>0</x:v>
      </x:c>
      <x:c r="M528" s="88"/>
      <x:c r="N528" s="91" t="n">
        <x:v>46</x:v>
      </x:c>
      <x:c r="O528" s="92" t="b">
        <x:v>0</x:v>
      </x:c>
      <x:c r="P528" s="88"/>
    </x:row>
    <x:row r="529">
      <x:c r="A529" s="56" t="str">
        <x:v>x-scissor</x:v>
      </x:c>
      <x:c r="B529" s="56" t="str">
        <x:v>シザークロス</x:v>
      </x:c>
      <x:c r="C529" s="56" t="str">
        <x:v>X-Scissor</x:v>
      </x:c>
      <x:c r="D529" s="85" t="str">
        <x:v>むし</x:v>
      </x:c>
      <x:c r="E529" s="86" t="n">
        <x:v>80</x:v>
      </x:c>
      <x:c r="F529" s="85" t="str">
        <x:v>物理</x:v>
      </x:c>
      <x:c r="G529" s="85" t="str">
        <x:v>単体対象</x:v>
      </x:c>
      <x:c r="H529" s="87" t="b">
        <x:v>1</x:v>
      </x:c>
      <x:c r="I529" s="88"/>
      <x:c r="J529" s="89"/>
      <x:c r="K529" s="88"/>
      <x:c r="L529" s="90" t="n">
        <x:v>0</x:v>
      </x:c>
      <x:c r="M529" s="88"/>
      <x:c r="N529" s="91" t="n">
        <x:v>143</x:v>
      </x:c>
      <x:c r="O529" s="92" t="b">
        <x:v>0</x:v>
      </x:c>
      <x:c r="P529" s="88"/>
    </x:row>
    <x:row r="530">
      <x:c r="A530" s="56" t="str">
        <x:v>zap-cannon</x:v>
      </x:c>
      <x:c r="B530" s="56" t="str">
        <x:v>でんじほう</x:v>
      </x:c>
      <x:c r="C530" s="56" t="str">
        <x:v>Zap Cannon</x:v>
      </x:c>
      <x:c r="D530" s="85" t="str">
        <x:v>でんき</x:v>
      </x:c>
      <x:c r="E530" s="86" t="n">
        <x:v>120</x:v>
      </x:c>
      <x:c r="F530" s="85" t="str">
        <x:v>特殊</x:v>
      </x:c>
      <x:c r="G530" s="85" t="str">
        <x:v>単体対象</x:v>
      </x:c>
      <x:c r="H530" s="87" t="b">
        <x:v>1</x:v>
      </x:c>
      <x:c r="I530" s="88"/>
      <x:c r="J530" s="89"/>
      <x:c r="K530" s="88"/>
      <x:c r="L530" s="90" t="n">
        <x:v>0</x:v>
      </x:c>
      <x:c r="M530" s="88"/>
      <x:c r="N530" s="91" t="n">
        <x:v>105</x:v>
      </x:c>
      <x:c r="O530" s="92" t="b">
        <x:v>0</x:v>
      </x:c>
      <x:c r="P530" s="88"/>
    </x:row>
    <x:row r="531">
      <x:c r="A531" s="56" t="str">
        <x:v>zen-headbutt</x:v>
      </x:c>
      <x:c r="B531" s="56" t="str">
        <x:v>しねんのずつき</x:v>
      </x:c>
      <x:c r="C531" s="56" t="str">
        <x:v>Zen Headbutt</x:v>
      </x:c>
      <x:c r="D531" s="85" t="str">
        <x:v>エスパー</x:v>
      </x:c>
      <x:c r="E531" s="86" t="n">
        <x:v>80</x:v>
      </x:c>
      <x:c r="F531" s="85" t="str">
        <x:v>物理</x:v>
      </x:c>
      <x:c r="G531" s="85" t="str">
        <x:v>単体対象</x:v>
      </x:c>
      <x:c r="H531" s="87" t="b">
        <x:v>1</x:v>
      </x:c>
      <x:c r="I531" s="88"/>
      <x:c r="J531" s="89"/>
      <x:c r="K531" s="88"/>
      <x:c r="L531" s="90" t="n">
        <x:v>0</x:v>
      </x:c>
      <x:c r="M531" s="88"/>
      <x:c r="N531" s="91" t="n">
        <x:v>431</x:v>
      </x:c>
      <x:c r="O531" s="92" t="b">
        <x:v>0</x:v>
      </x:c>
      <x:c r="P531" s="88"/>
    </x:row>
    <x:row r="532">
      <x:c r="A532" s="56" t="str">
        <x:v>zing-zap</x:v>
      </x:c>
      <x:c r="B532" s="56" t="str">
        <x:v>びりびりちくちく</x:v>
      </x:c>
      <x:c r="C532" s="56" t="str">
        <x:v>Zing Zap</x:v>
      </x:c>
      <x:c r="D532" s="85" t="str">
        <x:v>でんき</x:v>
      </x:c>
      <x:c r="E532" s="86" t="n">
        <x:v>80</x:v>
      </x:c>
      <x:c r="F532" s="85" t="str">
        <x:v>物理</x:v>
      </x:c>
      <x:c r="G532" s="85" t="str">
        <x:v>単体対象</x:v>
      </x:c>
      <x:c r="H532" s="87" t="b">
        <x:v>1</x:v>
      </x:c>
      <x:c r="I532" s="88"/>
      <x:c r="J532" s="89"/>
      <x:c r="K532" s="88"/>
      <x:c r="L532" s="90" t="n">
        <x:v>0</x:v>
      </x:c>
      <x:c r="M532" s="88"/>
      <x:c r="N532" s="91" t="n">
        <x:v>3</x:v>
      </x:c>
      <x:c r="O532" s="92" t="b">
        <x:v>0</x:v>
      </x:c>
      <x:c r="P532" s="88"/>
    </x:row>
    <x:row r="533">
      <x:c r="A533" s="56" t="str">
        <x:v>zippy-zap</x:v>
      </x:c>
      <x:c r="B533" s="56" t="str">
        <x:v>ばちばちアクセル</x:v>
      </x:c>
      <x:c r="C533" s="56" t="str">
        <x:v>Zippy Zap</x:v>
      </x:c>
      <x:c r="D533" s="85" t="str">
        <x:v>でんき</x:v>
      </x:c>
      <x:c r="E533" s="86" t="n">
        <x:v>80</x:v>
      </x:c>
      <x:c r="F533" s="85" t="str">
        <x:v>物理</x:v>
      </x:c>
      <x:c r="G533" s="85" t="str">
        <x:v>単体対象</x:v>
      </x:c>
      <x:c r="H533" s="87" t="b">
        <x:v>1</x:v>
      </x:c>
      <x:c r="I533" s="88"/>
      <x:c r="J533" s="89"/>
      <x:c r="K533" s="88"/>
      <x:c r="L533" s="90" t="n">
        <x:v>0</x:v>
      </x:c>
      <x:c r="M533" s="88"/>
      <x:c r="N533" s="91" t="n">
        <x:v>1</x:v>
      </x:c>
      <x:c r="O533" s="92" t="b">
        <x:v>0</x:v>
      </x:c>
      <x:c r="P533" s="88"/>
    </x:row>
  </x:sheetData>
  <x:mergeCells>
    <x:mergeCell ref="A1:P1"/>
    <x:mergeCell ref="A2:P2"/>
  </x:mergeCells>
  <x:dataValidations count="7">
    <x:dataValidation type="list" sqref="D5:D533">
      <x:formula1>'マスタ'!$B$5:$B$22</x:formula1>
    </x:dataValidation>
    <x:dataValidation type="list" sqref="F5:F533">
      <x:formula1>'マスタ'!$D$5:$D$6</x:formula1>
    </x:dataValidation>
    <x:dataValidation type="list" sqref="G5:G533">
      <x:formula1>'マスタ'!$F$5:$F$6</x:formula1>
    </x:dataValidation>
    <x:dataValidation type="list" sqref="I5:I533">
      <x:formula1>'マスタ'!$H$5:$H$11</x:formula1>
    </x:dataValidation>
    <x:dataValidation type="list" sqref="K5:K533">
      <x:formula1>'マスタ'!$J$5:$J$11</x:formula1>
    </x:dataValidation>
    <x:dataValidation type="whole" operator="between" sqref="L5:L533">
      <x:formula1>-7</x:formula1>
      <x:formula2>5</x:formula2>
    </x:dataValidation>
    <x:dataValidation type="whole" operator="between" sqref="J5:J533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8c9726e3d184a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4" max="4" width="16" hidden="0" customWidth="1"/>
    <x:col min="6" max="6" width="16" hidden="0" customWidth="1"/>
    <x:col min="8" max="8" width="18" hidden="0" customWidth="1"/>
    <x:col min="10" max="10" width="18" hidden="0" customWidth="1"/>
    <x:col min="12" max="12" width="20" hidden="0" customWidth="1"/>
  </x:cols>
  <x:sheetData>
    <x:row r="1">
      <x:c r="A1" s="4" t="str">
        <x:v>マスタ（入力候補）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8" t="str">
        <x:v>技データの入力候補。候補を追加するときは、対応する入力規則の範囲も広げてください。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>
      <x:c r="A4" s="57" t="str">
        <x:v>技タイプID</x:v>
      </x:c>
      <x:c r="B4" s="57" t="str">
        <x:v>技タイプ</x:v>
      </x:c>
      <x:c r="C4" s="56"/>
      <x:c r="D4" s="57" t="str">
        <x:v>分類</x:v>
      </x:c>
      <x:c r="E4" s="56"/>
      <x:c r="F4" s="57" t="str">
        <x:v>技範囲</x:v>
      </x:c>
      <x:c r="G4" s="56"/>
      <x:c r="H4" s="57" t="str">
        <x:v>追加効果の例</x:v>
      </x:c>
      <x:c r="I4" s="56"/>
      <x:c r="J4" s="57" t="str">
        <x:v>デメリットの例</x:v>
      </x:c>
      <x:c r="K4" s="56"/>
      <x:c r="L4" s="57" t="str">
        <x:v>カテゴリタグの例</x:v>
      </x:c>
      <x:c r="M4" s="56"/>
      <x:c r="N4" s="56"/>
      <x:c r="O4" s="56"/>
    </x:row>
    <x:row r="5">
      <x:c r="A5" s="56" t="str">
        <x:v>normal</x:v>
      </x:c>
      <x:c r="B5" s="56" t="str">
        <x:v>ノーマル</x:v>
      </x:c>
      <x:c r="C5" s="56"/>
      <x:c r="D5" s="56" t="str">
        <x:v>物理</x:v>
      </x:c>
      <x:c r="E5" s="56"/>
      <x:c r="F5" s="56" t="str">
        <x:v>単体対象</x:v>
      </x:c>
      <x:c r="G5" s="56"/>
      <x:c r="H5" s="56" t="str">
        <x:v>なし</x:v>
      </x:c>
      <x:c r="I5" s="56"/>
      <x:c r="J5" s="56" t="str">
        <x:v>なし</x:v>
      </x:c>
      <x:c r="K5" s="56"/>
      <x:c r="L5" s="56" t="str">
        <x:v>接触</x:v>
      </x:c>
      <x:c r="M5" s="56"/>
      <x:c r="N5" s="56"/>
      <x:c r="O5" s="56"/>
    </x:row>
    <x:row r="6">
      <x:c r="A6" s="56" t="str">
        <x:v>fire</x:v>
      </x:c>
      <x:c r="B6" s="56" t="str">
        <x:v>ほのお</x:v>
      </x:c>
      <x:c r="C6" s="56"/>
      <x:c r="D6" s="56" t="str">
        <x:v>特殊</x:v>
      </x:c>
      <x:c r="E6" s="56"/>
      <x:c r="F6" s="56" t="str">
        <x:v>複数対象</x:v>
      </x:c>
      <x:c r="G6" s="56"/>
      <x:c r="H6" s="56" t="str">
        <x:v>状態異常</x:v>
      </x:c>
      <x:c r="I6" s="56"/>
      <x:c r="J6" s="56" t="str">
        <x:v>反動</x:v>
      </x:c>
      <x:c r="K6" s="56"/>
      <x:c r="L6" s="56" t="str">
        <x:v>音技</x:v>
      </x:c>
      <x:c r="M6" s="56"/>
      <x:c r="N6" s="56"/>
      <x:c r="O6" s="56"/>
    </x:row>
    <x:row r="7">
      <x:c r="A7" s="56" t="str">
        <x:v>water</x:v>
      </x:c>
      <x:c r="B7" s="56" t="str">
        <x:v>みず</x:v>
      </x:c>
      <x:c r="C7" s="56"/>
      <x:c r="D7" s="56"/>
      <x:c r="E7" s="56"/>
      <x:c r="F7" s="56"/>
      <x:c r="G7" s="56"/>
      <x:c r="H7" s="56" t="str">
        <x:v>能力変化</x:v>
      </x:c>
      <x:c r="I7" s="56"/>
      <x:c r="J7" s="56" t="str">
        <x:v>溜め</x:v>
      </x:c>
      <x:c r="K7" s="56"/>
      <x:c r="L7" s="56" t="str">
        <x:v>パンチ技</x:v>
      </x:c>
      <x:c r="M7" s="56"/>
      <x:c r="N7" s="56"/>
      <x:c r="O7" s="56"/>
    </x:row>
    <x:row r="8">
      <x:c r="A8" s="56" t="str">
        <x:v>electric</x:v>
      </x:c>
      <x:c r="B8" s="56" t="str">
        <x:v>でんき</x:v>
      </x:c>
      <x:c r="C8" s="56"/>
      <x:c r="D8" s="56"/>
      <x:c r="E8" s="56"/>
      <x:c r="F8" s="56"/>
      <x:c r="G8" s="56"/>
      <x:c r="H8" s="56" t="str">
        <x:v>ひるみ</x:v>
      </x:c>
      <x:c r="I8" s="56"/>
      <x:c r="J8" s="56" t="str">
        <x:v>能力下降</x:v>
      </x:c>
      <x:c r="K8" s="56"/>
      <x:c r="L8" s="56" t="str">
        <x:v>切断技</x:v>
      </x:c>
      <x:c r="M8" s="56"/>
      <x:c r="N8" s="56"/>
      <x:c r="O8" s="56"/>
    </x:row>
    <x:row r="9">
      <x:c r="A9" s="56" t="str">
        <x:v>grass</x:v>
      </x:c>
      <x:c r="B9" s="56" t="str">
        <x:v>くさ</x:v>
      </x:c>
      <x:c r="C9" s="56"/>
      <x:c r="D9" s="56"/>
      <x:c r="E9" s="56"/>
      <x:c r="F9" s="56"/>
      <x:c r="G9" s="56"/>
      <x:c r="H9" s="56" t="str">
        <x:v>回復</x:v>
      </x:c>
      <x:c r="I9" s="56"/>
      <x:c r="J9" s="56" t="str">
        <x:v>命中低下</x:v>
      </x:c>
      <x:c r="K9" s="56"/>
      <x:c r="L9" s="56" t="str">
        <x:v>弾技</x:v>
      </x:c>
      <x:c r="M9" s="56"/>
      <x:c r="N9" s="56"/>
      <x:c r="O9" s="56"/>
    </x:row>
    <x:row r="10">
      <x:c r="A10" s="56" t="str">
        <x:v>ice</x:v>
      </x:c>
      <x:c r="B10" s="56" t="str">
        <x:v>こおり</x:v>
      </x:c>
      <x:c r="C10" s="56"/>
      <x:c r="D10" s="56"/>
      <x:c r="E10" s="56"/>
      <x:c r="F10" s="56"/>
      <x:c r="G10" s="56"/>
      <x:c r="H10" s="56" t="str">
        <x:v>行動不能</x:v>
      </x:c>
      <x:c r="I10" s="56"/>
      <x:c r="J10" s="56" t="str">
        <x:v>使用制限</x:v>
      </x:c>
      <x:c r="K10" s="56"/>
      <x:c r="L10" s="56" t="str">
        <x:v>咬み技</x:v>
      </x:c>
      <x:c r="M10" s="56"/>
      <x:c r="N10" s="56"/>
      <x:c r="O10" s="56"/>
    </x:row>
    <x:row r="11">
      <x:c r="A11" s="56" t="str">
        <x:v>fighting</x:v>
      </x:c>
      <x:c r="B11" s="56" t="str">
        <x:v>かくとう</x:v>
      </x:c>
      <x:c r="C11" s="56"/>
      <x:c r="D11" s="56"/>
      <x:c r="E11" s="56"/>
      <x:c r="F11" s="56"/>
      <x:c r="G11" s="56"/>
      <x:c r="H11" s="56" t="str">
        <x:v>その他</x:v>
      </x:c>
      <x:c r="I11" s="56"/>
      <x:c r="J11" s="56" t="str">
        <x:v>その他</x:v>
      </x:c>
      <x:c r="K11" s="56"/>
      <x:c r="L11" s="56" t="str">
        <x:v>その他</x:v>
      </x:c>
      <x:c r="M11" s="56"/>
      <x:c r="N11" s="56"/>
      <x:c r="O11" s="56"/>
    </x:row>
    <x:row r="12">
      <x:c r="A12" s="56" t="str">
        <x:v>poison</x:v>
      </x:c>
      <x:c r="B12" s="56" t="str">
        <x:v>どく</x:v>
      </x:c>
      <x:c r="C12" s="56"/>
      <x:c r="D12" s="56"/>
      <x:c r="E12" s="56"/>
      <x:c r="F12" s="56"/>
      <x:c r="G12" s="56"/>
      <x:c r="H12" s="56"/>
      <x:c r="I12" s="56"/>
      <x:c r="J12" s="56"/>
      <x:c r="K12" s="56"/>
      <x:c r="L12" s="56"/>
      <x:c r="M12" s="56"/>
      <x:c r="N12" s="56"/>
      <x:c r="O12" s="56"/>
    </x:row>
    <x:row r="13">
      <x:c r="A13" s="56" t="str">
        <x:v>ground</x:v>
      </x:c>
      <x:c r="B13" s="56" t="str">
        <x:v>じめん</x:v>
      </x:c>
      <x:c r="C13" s="56"/>
      <x:c r="D13" s="56"/>
      <x:c r="E13" s="56"/>
      <x:c r="F13" s="56"/>
      <x:c r="G13" s="56"/>
      <x:c r="H13" s="56"/>
      <x:c r="I13" s="56"/>
      <x:c r="J13" s="56"/>
      <x:c r="K13" s="56"/>
      <x:c r="L13" s="56"/>
      <x:c r="M13" s="56"/>
      <x:c r="N13" s="56"/>
      <x:c r="O13" s="56"/>
    </x:row>
    <x:row r="14">
      <x:c r="A14" s="56" t="str">
        <x:v>flying</x:v>
      </x:c>
      <x:c r="B14" s="56" t="str">
        <x:v>ひこう</x:v>
      </x:c>
      <x:c r="C14" s="56"/>
      <x:c r="D14" s="56"/>
      <x:c r="E14" s="56"/>
      <x:c r="F14" s="56"/>
      <x:c r="G14" s="56"/>
      <x:c r="H14" s="56"/>
      <x:c r="I14" s="56"/>
      <x:c r="J14" s="56"/>
      <x:c r="K14" s="56"/>
      <x:c r="L14" s="56"/>
      <x:c r="M14" s="56"/>
      <x:c r="N14" s="56"/>
      <x:c r="O14" s="56"/>
    </x:row>
    <x:row r="15">
      <x:c r="A15" s="56" t="str">
        <x:v>psychic</x:v>
      </x:c>
      <x:c r="B15" s="56" t="str">
        <x:v>エスパー</x:v>
      </x:c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  <x:c r="M15" s="56"/>
      <x:c r="N15" s="56"/>
      <x:c r="O15" s="56"/>
    </x:row>
    <x:row r="16">
      <x:c r="A16" s="56" t="str">
        <x:v>bug</x:v>
      </x:c>
      <x:c r="B16" s="56" t="str">
        <x:v>むし</x:v>
      </x:c>
      <x:c r="C16" s="56"/>
      <x:c r="D16" s="56"/>
      <x:c r="E16" s="56"/>
      <x:c r="F16" s="56"/>
      <x:c r="G16" s="56"/>
      <x:c r="H16" s="56"/>
      <x:c r="I16" s="56"/>
      <x:c r="J16" s="56"/>
      <x:c r="K16" s="56"/>
      <x:c r="L16" s="56"/>
      <x:c r="M16" s="56"/>
      <x:c r="N16" s="56"/>
      <x:c r="O16" s="56"/>
    </x:row>
    <x:row r="17">
      <x:c r="A17" s="56" t="str">
        <x:v>rock</x:v>
      </x:c>
      <x:c r="B17" s="56" t="str">
        <x:v>いわ</x:v>
      </x:c>
      <x:c r="C17" s="56"/>
      <x:c r="D17" s="56"/>
      <x:c r="E17" s="56"/>
      <x:c r="F17" s="56"/>
      <x:c r="G17" s="56"/>
      <x:c r="H17" s="56"/>
      <x:c r="I17" s="56"/>
      <x:c r="J17" s="56"/>
      <x:c r="K17" s="56"/>
      <x:c r="L17" s="56"/>
      <x:c r="M17" s="56"/>
      <x:c r="N17" s="56"/>
      <x:c r="O17" s="56"/>
    </x:row>
    <x:row r="18">
      <x:c r="A18" s="56" t="str">
        <x:v>ghost</x:v>
      </x:c>
      <x:c r="B18" s="56" t="str">
        <x:v>ゴースト</x:v>
      </x:c>
      <x:c r="C18" s="56"/>
      <x:c r="D18" s="56"/>
      <x:c r="E18" s="56"/>
      <x:c r="F18" s="56"/>
      <x:c r="G18" s="56"/>
      <x:c r="H18" s="56"/>
      <x:c r="I18" s="56"/>
      <x:c r="J18" s="56"/>
      <x:c r="K18" s="56"/>
      <x:c r="L18" s="56"/>
      <x:c r="M18" s="56"/>
      <x:c r="N18" s="56"/>
      <x:c r="O18" s="56"/>
    </x:row>
    <x:row r="19">
      <x:c r="A19" s="56" t="str">
        <x:v>dragon</x:v>
      </x:c>
      <x:c r="B19" s="56" t="str">
        <x:v>ドラゴン</x:v>
      </x:c>
      <x:c r="C19" s="56"/>
      <x:c r="D19" s="56"/>
      <x:c r="E19" s="56"/>
      <x:c r="F19" s="56"/>
      <x:c r="G19" s="56"/>
      <x:c r="H19" s="56"/>
      <x:c r="I19" s="56"/>
      <x:c r="J19" s="56"/>
      <x:c r="K19" s="56"/>
      <x:c r="L19" s="56"/>
      <x:c r="M19" s="56"/>
      <x:c r="N19" s="56"/>
      <x:c r="O19" s="56"/>
    </x:row>
    <x:row r="20">
      <x:c r="A20" s="56" t="str">
        <x:v>dark</x:v>
      </x:c>
      <x:c r="B20" s="56" t="str">
        <x:v>あく</x:v>
      </x:c>
      <x:c r="C20" s="56"/>
      <x:c r="D20" s="56"/>
      <x:c r="E20" s="56"/>
      <x:c r="F20" s="56"/>
      <x:c r="G20" s="56"/>
      <x:c r="H20" s="56"/>
      <x:c r="I20" s="56"/>
      <x:c r="J20" s="56"/>
      <x:c r="K20" s="56"/>
      <x:c r="L20" s="56"/>
      <x:c r="M20" s="56"/>
      <x:c r="N20" s="56"/>
      <x:c r="O20" s="56"/>
    </x:row>
    <x:row r="21">
      <x:c r="A21" s="56" t="str">
        <x:v>steel</x:v>
      </x:c>
      <x:c r="B21" s="56" t="str">
        <x:v>はがね</x:v>
      </x:c>
      <x:c r="C21" s="56"/>
      <x:c r="D21" s="56"/>
      <x:c r="E21" s="56"/>
      <x:c r="F21" s="56"/>
      <x:c r="G21" s="56"/>
      <x:c r="H21" s="56"/>
      <x:c r="I21" s="56"/>
      <x:c r="J21" s="56"/>
      <x:c r="K21" s="56"/>
      <x:c r="L21" s="56"/>
      <x:c r="M21" s="56"/>
      <x:c r="N21" s="56"/>
      <x:c r="O21" s="56"/>
    </x:row>
    <x:row r="22">
      <x:c r="A22" s="56" t="str">
        <x:v>fairy</x:v>
      </x:c>
      <x:c r="B22" s="56" t="str">
        <x:v>フェアリー</x:v>
      </x:c>
      <x:c r="C22" s="56"/>
      <x:c r="D22" s="56"/>
      <x:c r="E22" s="56"/>
      <x:c r="F22" s="56"/>
      <x:c r="G22" s="56"/>
      <x:c r="H22" s="56"/>
      <x:c r="I22" s="56"/>
      <x:c r="J22" s="56"/>
      <x:c r="K22" s="56"/>
      <x:c r="L22" s="56"/>
      <x:c r="M22" s="56"/>
      <x:c r="N22" s="56"/>
      <x:c r="O22" s="56"/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42" hidden="0" customWidth="1"/>
    <x:col min="4" max="4" width="4" hidden="0" customWidth="1"/>
    <x:col min="5" max="5" width="18" hidden="0" customWidth="1"/>
    <x:col min="6" max="6" width="30" hidden="0" customWidth="1"/>
  </x:cols>
  <x:sheetData>
    <x:row r="1">
      <x:c r="A1" s="4" t="str">
        <x:v>編集ガイド</x:v>
      </x:c>
      <x:c r="B1" s="4"/>
      <x:c r="C1" s="4"/>
      <x:c r="D1" s="4"/>
      <x:c r="E1" s="4"/>
      <x:c r="F1" s="4"/>
    </x:row>
    <x:row r="2">
      <x:c r="A2" s="8" t="str">
        <x:v>技データを追加・修正するときの項目定義と注意点</x:v>
      </x:c>
      <x:c r="B2" s="8"/>
      <x:c r="C2" s="8"/>
      <x:c r="D2" s="8"/>
      <x:c r="E2" s="8"/>
      <x:c r="F2" s="8"/>
    </x:row>
    <x:row r="4" ht="28" customHeight="1">
      <x:c r="A4" s="14" t="str">
        <x:v>項目</x:v>
      </x:c>
      <x:c r="B4" s="14" t="str">
        <x:v>入力例</x:v>
      </x:c>
      <x:c r="C4" s="14" t="str">
        <x:v>説明</x:v>
      </x:c>
      <x:c r="E4" s="14" t="str">
        <x:v>元データ項目</x:v>
      </x:c>
      <x:c r="F4" s="14" t="str">
        <x:v>参照元</x:v>
      </x:c>
    </x:row>
    <x:row r="5" ht="24" customHeight="1">
      <x:c r="A5" s="114" t="str">
        <x:v>技タイプ</x:v>
      </x:c>
      <x:c r="B5" s="103" t="str">
        <x:v>みず</x:v>
      </x:c>
      <x:c r="C5" s="104" t="str">
        <x:v>18タイプから選択</x:v>
      </x:c>
      <x:c r="E5" s="114" t="str">
        <x:v>技一覧</x:v>
      </x:c>
      <x:c r="F5" s="104" t="str">
        <x:v>data/moves.json</x:v>
      </x:c>
    </x:row>
    <x:row r="6" ht="24" customHeight="1">
      <x:c r="A6" s="115" t="str">
        <x:v>威力</x:v>
      </x:c>
      <x:c r="B6" s="106" t="str">
        <x:v>40</x:v>
      </x:c>
      <x:c r="C6" s="107" t="str">
        <x:v>基本威力。固定ダメージ・変動威力はメモを併記</x:v>
      </x:c>
      <x:c r="E6" s="115" t="str">
        <x:v>ポケモン一覧</x:v>
      </x:c>
      <x:c r="F6" s="107" t="str">
        <x:v>data/pokemon.json</x:v>
      </x:c>
    </x:row>
    <x:row r="7" ht="24" customHeight="1">
      <x:c r="A7" s="115" t="str">
        <x:v>分類</x:v>
      </x:c>
      <x:c r="B7" s="106" t="str">
        <x:v>物理</x:v>
      </x:c>
      <x:c r="C7" s="107" t="str">
        <x:v>物理／特殊。現在はこの2分類のみ</x:v>
      </x:c>
      <x:c r="E7" s="115" t="str">
        <x:v>技タイプ</x:v>
      </x:c>
      <x:c r="F7" s="107" t="str">
        <x:v>moves.jsonのtype</x:v>
      </x:c>
    </x:row>
    <x:row r="8" ht="24" customHeight="1">
      <x:c r="A8" s="115" t="str">
        <x:v>技範囲</x:v>
      </x:c>
      <x:c r="B8" s="106" t="str">
        <x:v>単体対象</x:v>
      </x:c>
      <x:c r="C8" s="107" t="str">
        <x:v>単体・複数対象など。元データのisSpreadMoveを初期反映</x:v>
      </x:c>
      <x:c r="E8" s="115" t="str">
        <x:v>分類</x:v>
      </x:c>
      <x:c r="F8" s="107" t="str">
        <x:v>moves.jsonのcategory</x:v>
      </x:c>
    </x:row>
    <x:row r="9" ht="24" customHeight="1">
      <x:c r="A9" s="115" t="str">
        <x:v>チャンピオンズ対象（暫定）</x:v>
      </x:c>
      <x:c r="B9" s="106" t="str">
        <x:v>TRUE/FALSE</x:v>
      </x:c>
      <x:c r="C9" s="107" t="str">
        <x:v>対象ならTRUE、対象外ならFALSE。公式対象リスト確定前の整理用</x:v>
      </x:c>
      <x:c r="E9" s="115" t="str">
        <x:v>威力</x:v>
      </x:c>
      <x:c r="F9" s="107" t="str">
        <x:v>moves.jsonのpower</x:v>
      </x:c>
    </x:row>
    <x:row r="10" ht="24" customHeight="1">
      <x:c r="A10" s="115" t="str">
        <x:v>追加効果</x:v>
      </x:c>
      <x:c r="B10" s="106" t="str">
        <x:v>まひ</x:v>
      </x:c>
      <x:c r="C10" s="107" t="str">
        <x:v>状態異常、能力変化などを入力</x:v>
      </x:c>
      <x:c r="E10" s="115" t="str">
        <x:v>技範囲</x:v>
      </x:c>
      <x:c r="F10" s="107" t="str">
        <x:v>moves.jsonのisSpreadMove</x:v>
      </x:c>
    </x:row>
    <x:row r="11" ht="24" customHeight="1">
      <x:c r="A11" s="115" t="str">
        <x:v>追加効果確率</x:v>
      </x:c>
      <x:c r="B11" s="106" t="str">
        <x:v>30</x:v>
      </x:c>
      <x:c r="C11" s="107" t="str">
        <x:v>30と入力すると30%表示</x:v>
      </x:c>
      <x:c r="E11" s="115" t="str">
        <x:v>優先度</x:v>
      </x:c>
      <x:c r="F11" s="107" t="str">
        <x:v>app.jsのpriorityMoveIdsを初期値化</x:v>
      </x:c>
    </x:row>
    <x:row r="12" ht="24" customHeight="1">
      <x:c r="A12" s="115" t="str">
        <x:v>デメリット</x:v>
      </x:c>
      <x:c r="B12" s="106" t="str">
        <x:v>反動</x:v>
      </x:c>
      <x:c r="C12" s="107" t="str">
        <x:v>反動、溜め、能力下降など</x:v>
      </x:c>
      <x:c r="E12" s="115" t="str">
        <x:v>習得関係</x:v>
      </x:c>
      <x:c r="F12" s="107" t="str">
        <x:v>moves.jsonのusers</x:v>
      </x:c>
    </x:row>
    <x:row r="13" ht="24" customHeight="1">
      <x:c r="A13" s="115" t="str">
        <x:v>優先度</x:v>
      </x:c>
      <x:c r="B13" s="106" t="str">
        <x:v>1</x:v>
      </x:c>
      <x:c r="C13" s="107" t="str">
        <x:v>0が通常。正の値は先制技。現在の固定リストを初期反映</x:v>
      </x:c>
      <x:c r="E13" s="116" t="str">
        <x:v>対象フラグ</x:v>
      </x:c>
      <x:c r="F13" s="110" t="str">
        <x:v>ユーザー編集用の暫定列</x:v>
      </x:c>
    </x:row>
    <x:row r="14" ht="24" customHeight="1">
      <x:c r="A14" s="115" t="str">
        <x:v>カテゴリタグ</x:v>
      </x:c>
      <x:c r="B14" s="106" t="str">
        <x:v>接触</x:v>
      </x:c>
      <x:c r="C14" s="107" t="str">
        <x:v>接触・音・パンチなど。複数ある場合はカンマ区切り</x:v>
      </x:c>
    </x:row>
    <x:row r="15" ht="24" customHeight="1">
      <x:c r="A15" s="115" t="str">
        <x:v>使用ポケモン数</x:v>
      </x:c>
      <x:c r="B15" s="106" t="str">
        <x:v>自動</x:v>
      </x:c>
      <x:c r="C15" s="107" t="str">
        <x:v>元JSONのusers配列の件数。習得関係の編集は元データ側で行う</x:v>
      </x:c>
    </x:row>
    <x:row r="16" ht="24" customHeight="1">
      <x:c r="A16" s="115" t="str">
        <x:v>元isSpreadMove</x:v>
      </x:c>
      <x:c r="B16" s="106" t="str">
        <x:v>TRUE/FALSE</x:v>
      </x:c>
      <x:c r="C16" s="107" t="str">
        <x:v>元JSONの値。比較用の参照列</x:v>
      </x:c>
    </x:row>
    <x:row r="17" ht="24" customHeight="1">
      <x:c r="A17" s="115" t="str">
        <x:v>メモ</x:v>
      </x:c>
      <x:c r="B17" s="106" t="str">
        <x:v>要確認</x:v>
      </x:c>
      <x:c r="C17" s="107" t="str">
        <x:v>変動威力、特殊処理など自由記入</x:v>
      </x:c>
    </x:row>
    <x:row r="18" ht="24" customHeight="1">
      <x:c r="A18" s="116" t="str">
        <x:v>users</x:v>
      </x:c>
      <x:c r="B18" s="109" t="str">
        <x:v>ポケモンID配列</x:v>
      </x:c>
      <x:c r="C18" s="110" t="str">
        <x:v>習得ポケモン情報。必要なら元JSONを別途整理</x:v>
      </x:c>
    </x:row>
  </x:sheetData>
  <x:mergeCells>
    <x:mergeCell ref="A1:F1"/>
    <x:mergeCell ref="A2:F2"/>
  </x:mergeCells>
  <x:pageMargins left="0.7" right="0.7" top="0.75" bottom="0.75" header="0.3" footer="0.3"/>
</x:worksheet>
</file>